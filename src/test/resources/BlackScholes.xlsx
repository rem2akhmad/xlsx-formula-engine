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<sst xmlns="http://schemas.openxmlformats.org/spreadsheetml/2006/main" count="26" uniqueCount="23">
  <si>
    <t xml:space="preserve">Black-Scholes in Excel</t>
  </si>
  <si>
    <t xml:space="preserve">x</t>
  </si>
  <si>
    <t xml:space="preserve">X, strike price</t>
  </si>
  <si>
    <t xml:space="preserve">T, time period</t>
  </si>
  <si>
    <t xml:space="preserve">r, interest rate</t>
  </si>
  <si>
    <t xml:space="preserve">r= 8% gives rT = 2% per quarter (of a year) so x[T]= x[t=0]*exp(0.02), e.g. x[T]= 61.212 for x[t=0]= 60.</t>
  </si>
  <si>
    <t xml:space="preserve">v, volatility</t>
  </si>
  <si>
    <t xml:space="preserve">Compare volatilities, e.g. 1% , 11% and 22%</t>
  </si>
  <si>
    <t xml:space="preserve">For a low volatility v=1% the change between initial and final price is determined almost entirely by the interest rate: </t>
  </si>
  <si>
    <t xml:space="preserve">d1</t>
  </si>
  <si>
    <t xml:space="preserve">d2</t>
  </si>
  <si>
    <t xml:space="preserve">call value</t>
  </si>
  <si>
    <t xml:space="preserve">The values of call and put options are the same for a strike price equal to the expected stock price,  X= x[T].</t>
  </si>
  <si>
    <t xml:space="preserve">put value</t>
  </si>
  <si>
    <t xml:space="preserve">= step</t>
  </si>
  <si>
    <t xml:space="preserve">Black-Scholes Directly in a Excel Sheet, by Espen Gaarder Haug (modified by CJ Foot)</t>
  </si>
  <si>
    <t xml:space="preserve">X</t>
  </si>
  <si>
    <t xml:space="preserve">T</t>
  </si>
  <si>
    <t xml:space="preserve">r</t>
  </si>
  <si>
    <t xml:space="preserve">v</t>
  </si>
  <si>
    <t xml:space="preserve">call</t>
  </si>
  <si>
    <t xml:space="preserve">put</t>
  </si>
  <si>
    <t xml:space="preserve">call - put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</si>
</sst>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%"/>
    <numFmt numFmtId="167" formatCode="0.0000"/>
    <numFmt numFmtId="168" formatCode="0.0"/>
  </numFmts>
  <fonts count="8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  <font>
      <b val="true"/>
      <sz val="14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Calibri"/>
              </a:rPr>
              <a:t>Black-Scholes values for options </a:t>
            </a:r>
          </a:p>
        </c:rich>
      </c:tx>
      <c:layout>
        <c:manualLayout>
          <c:xMode val="edge"/>
          <c:yMode val="edge"/>
          <c:x val="0.358736237434179"/>
          <c:y val="0.063395040167656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12781235040689"/>
          <c:y val="0.0716032134125044"/>
          <c:w val="0.891383437051221"/>
          <c:h val="0.890674118057981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99CC00"/>
            </a:solidFill>
            <a:ln w="37800">
              <a:solidFill>
                <a:srgbClr val="99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Sheet2!$A$10:$A$40</c:f>
              <c:numCache>
                <c:formatCode>General</c:formatCode>
                <c:ptCount val="31"/>
                <c:pt idx="0">
                  <c:v>50</c:v>
                </c:pt>
                <c:pt idx="1">
                  <c:v>50.75</c:v>
                </c:pt>
                <c:pt idx="2">
                  <c:v>51.5</c:v>
                </c:pt>
                <c:pt idx="3">
                  <c:v>52.25</c:v>
                </c:pt>
                <c:pt idx="4">
                  <c:v>53</c:v>
                </c:pt>
                <c:pt idx="5">
                  <c:v>53.75</c:v>
                </c:pt>
                <c:pt idx="6">
                  <c:v>54.5</c:v>
                </c:pt>
                <c:pt idx="7">
                  <c:v>55.25</c:v>
                </c:pt>
                <c:pt idx="8">
                  <c:v>56</c:v>
                </c:pt>
                <c:pt idx="9">
                  <c:v>56.75</c:v>
                </c:pt>
                <c:pt idx="10">
                  <c:v>57.5</c:v>
                </c:pt>
                <c:pt idx="11">
                  <c:v>58.25</c:v>
                </c:pt>
                <c:pt idx="12">
                  <c:v>59</c:v>
                </c:pt>
                <c:pt idx="13">
                  <c:v>59.75</c:v>
                </c:pt>
                <c:pt idx="14">
                  <c:v>60.5</c:v>
                </c:pt>
                <c:pt idx="15">
                  <c:v>61.25</c:v>
                </c:pt>
                <c:pt idx="16">
                  <c:v>62</c:v>
                </c:pt>
                <c:pt idx="17">
                  <c:v>62.75</c:v>
                </c:pt>
                <c:pt idx="18">
                  <c:v>63.5</c:v>
                </c:pt>
                <c:pt idx="19">
                  <c:v>64.25</c:v>
                </c:pt>
                <c:pt idx="20">
                  <c:v>65</c:v>
                </c:pt>
                <c:pt idx="21">
                  <c:v>65.75</c:v>
                </c:pt>
                <c:pt idx="22">
                  <c:v>66.5</c:v>
                </c:pt>
                <c:pt idx="23">
                  <c:v>67.25</c:v>
                </c:pt>
                <c:pt idx="24">
                  <c:v>68</c:v>
                </c:pt>
                <c:pt idx="25">
                  <c:v>68.75</c:v>
                </c:pt>
                <c:pt idx="26">
                  <c:v>69.5</c:v>
                </c:pt>
                <c:pt idx="27">
                  <c:v>70.25</c:v>
                </c:pt>
                <c:pt idx="28">
                  <c:v>71</c:v>
                </c:pt>
                <c:pt idx="29">
                  <c:v>71.75</c:v>
                </c:pt>
                <c:pt idx="30">
                  <c:v>72.5</c:v>
                </c:pt>
              </c:numCache>
            </c:numRef>
          </c:xVal>
          <c:yVal>
            <c:numRef>
              <c:f>Sheet2!$D$10:$D$40</c:f>
              <c:numCache>
                <c:formatCode>0.0</c:formatCode>
                <c:ptCount val="31"/>
                <c:pt idx="0">
                  <c:v>0.00135186182798433</c:v>
                </c:pt>
                <c:pt idx="1">
                  <c:v>0.00339241198588561</c:v>
                </c:pt>
                <c:pt idx="2">
                  <c:v>0.0078943971496786</c:v>
                </c:pt>
                <c:pt idx="3">
                  <c:v>0.0171066481049735</c:v>
                </c:pt>
                <c:pt idx="4">
                  <c:v>0.0346580459672941</c:v>
                </c:pt>
                <c:pt idx="5">
                  <c:v>0.0659109101599982</c:v>
                </c:pt>
                <c:pt idx="6">
                  <c:v>0.118117715608437</c:v>
                </c:pt>
                <c:pt idx="7">
                  <c:v>0.200236121425858</c:v>
                </c:pt>
                <c:pt idx="8">
                  <c:v>0.322317011465842</c:v>
                </c:pt>
                <c:pt idx="9">
                  <c:v>0.494495039106157</c:v>
                </c:pt>
                <c:pt idx="10">
                  <c:v>0.72574455240224</c:v>
                </c:pt>
                <c:pt idx="11">
                  <c:v>1.02266233177057</c:v>
                </c:pt>
                <c:pt idx="12">
                  <c:v>1.38855768974455</c:v>
                </c:pt>
                <c:pt idx="13">
                  <c:v>1.82305771287416</c:v>
                </c:pt>
                <c:pt idx="14">
                  <c:v>2.32229735320487</c:v>
                </c:pt>
                <c:pt idx="15">
                  <c:v>2.8796128974358</c:v>
                </c:pt>
                <c:pt idx="16">
                  <c:v>3.48654572988215</c:v>
                </c:pt>
                <c:pt idx="17">
                  <c:v>4.13392201947027</c:v>
                </c:pt>
                <c:pt idx="18">
                  <c:v>4.81280303756974</c:v>
                </c:pt>
                <c:pt idx="19">
                  <c:v>5.51517595798247</c:v>
                </c:pt>
                <c:pt idx="20">
                  <c:v>6.2343426679745</c:v>
                </c:pt>
                <c:pt idx="21">
                  <c:v>6.96503627106841</c:v>
                </c:pt>
                <c:pt idx="22">
                  <c:v>7.70333711392938</c:v>
                </c:pt>
                <c:pt idx="23">
                  <c:v>8.44647172796971</c:v>
                </c:pt>
                <c:pt idx="24">
                  <c:v>9.1925674753014</c:v>
                </c:pt>
                <c:pt idx="25">
                  <c:v>9.94041423218771</c:v>
                </c:pt>
                <c:pt idx="26">
                  <c:v>10.6892616841137</c:v>
                </c:pt>
                <c:pt idx="27">
                  <c:v>11.4386624872486</c:v>
                </c:pt>
                <c:pt idx="28">
                  <c:v>12.1883596843088</c:v>
                </c:pt>
                <c:pt idx="29">
                  <c:v>12.9382108285163</c:v>
                </c:pt>
                <c:pt idx="30">
                  <c:v>13.6881395893107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666699"/>
            </a:solidFill>
            <a:ln w="378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Sheet2!$A$10:$A$40</c:f>
              <c:numCache>
                <c:formatCode>General</c:formatCode>
                <c:ptCount val="31"/>
                <c:pt idx="0">
                  <c:v>50</c:v>
                </c:pt>
                <c:pt idx="1">
                  <c:v>50.75</c:v>
                </c:pt>
                <c:pt idx="2">
                  <c:v>51.5</c:v>
                </c:pt>
                <c:pt idx="3">
                  <c:v>52.25</c:v>
                </c:pt>
                <c:pt idx="4">
                  <c:v>53</c:v>
                </c:pt>
                <c:pt idx="5">
                  <c:v>53.75</c:v>
                </c:pt>
                <c:pt idx="6">
                  <c:v>54.5</c:v>
                </c:pt>
                <c:pt idx="7">
                  <c:v>55.25</c:v>
                </c:pt>
                <c:pt idx="8">
                  <c:v>56</c:v>
                </c:pt>
                <c:pt idx="9">
                  <c:v>56.75</c:v>
                </c:pt>
                <c:pt idx="10">
                  <c:v>57.5</c:v>
                </c:pt>
                <c:pt idx="11">
                  <c:v>58.25</c:v>
                </c:pt>
                <c:pt idx="12">
                  <c:v>59</c:v>
                </c:pt>
                <c:pt idx="13">
                  <c:v>59.75</c:v>
                </c:pt>
                <c:pt idx="14">
                  <c:v>60.5</c:v>
                </c:pt>
                <c:pt idx="15">
                  <c:v>61.25</c:v>
                </c:pt>
                <c:pt idx="16">
                  <c:v>62</c:v>
                </c:pt>
                <c:pt idx="17">
                  <c:v>62.75</c:v>
                </c:pt>
                <c:pt idx="18">
                  <c:v>63.5</c:v>
                </c:pt>
                <c:pt idx="19">
                  <c:v>64.25</c:v>
                </c:pt>
                <c:pt idx="20">
                  <c:v>65</c:v>
                </c:pt>
                <c:pt idx="21">
                  <c:v>65.75</c:v>
                </c:pt>
                <c:pt idx="22">
                  <c:v>66.5</c:v>
                </c:pt>
                <c:pt idx="23">
                  <c:v>67.25</c:v>
                </c:pt>
                <c:pt idx="24">
                  <c:v>68</c:v>
                </c:pt>
                <c:pt idx="25">
                  <c:v>68.75</c:v>
                </c:pt>
                <c:pt idx="26">
                  <c:v>69.5</c:v>
                </c:pt>
                <c:pt idx="27">
                  <c:v>70.25</c:v>
                </c:pt>
                <c:pt idx="28">
                  <c:v>71</c:v>
                </c:pt>
                <c:pt idx="29">
                  <c:v>71.75</c:v>
                </c:pt>
                <c:pt idx="30">
                  <c:v>72.5</c:v>
                </c:pt>
              </c:numCache>
            </c:numRef>
          </c:xVal>
          <c:yVal>
            <c:numRef>
              <c:f>Sheet2!$E$10:$E$40</c:f>
              <c:numCache>
                <c:formatCode>0.0</c:formatCode>
                <c:ptCount val="31"/>
                <c:pt idx="0">
                  <c:v>8.8132722602333</c:v>
                </c:pt>
                <c:pt idx="1">
                  <c:v>8.0653128103912</c:v>
                </c:pt>
                <c:pt idx="2">
                  <c:v>7.31981479555499</c:v>
                </c:pt>
                <c:pt idx="3">
                  <c:v>6.57902704651028</c:v>
                </c:pt>
                <c:pt idx="4">
                  <c:v>5.84657844437261</c:v>
                </c:pt>
                <c:pt idx="5">
                  <c:v>5.12783130856531</c:v>
                </c:pt>
                <c:pt idx="6">
                  <c:v>4.43003811401376</c:v>
                </c:pt>
                <c:pt idx="7">
                  <c:v>3.76215651983117</c:v>
                </c:pt>
                <c:pt idx="8">
                  <c:v>3.13423740987115</c:v>
                </c:pt>
                <c:pt idx="9">
                  <c:v>2.55641543751147</c:v>
                </c:pt>
                <c:pt idx="10">
                  <c:v>2.03766495080755</c:v>
                </c:pt>
                <c:pt idx="11">
                  <c:v>1.58458273017588</c:v>
                </c:pt>
                <c:pt idx="12">
                  <c:v>1.20047808814986</c:v>
                </c:pt>
                <c:pt idx="13">
                  <c:v>0.88497811127947</c:v>
                </c:pt>
                <c:pt idx="14">
                  <c:v>0.634217751610184</c:v>
                </c:pt>
                <c:pt idx="15">
                  <c:v>0.44153329584111</c:v>
                </c:pt>
                <c:pt idx="16">
                  <c:v>0.298466128287457</c:v>
                </c:pt>
                <c:pt idx="17">
                  <c:v>0.195842417875582</c:v>
                </c:pt>
                <c:pt idx="18">
                  <c:v>0.124723435975045</c:v>
                </c:pt>
                <c:pt idx="19">
                  <c:v>0.0770963563877851</c:v>
                </c:pt>
                <c:pt idx="20">
                  <c:v>0.0462630663798156</c:v>
                </c:pt>
                <c:pt idx="21">
                  <c:v>0.026956669473726</c:v>
                </c:pt>
                <c:pt idx="22">
                  <c:v>0.0152575123346891</c:v>
                </c:pt>
                <c:pt idx="23">
                  <c:v>0.00839212637502235</c:v>
                </c:pt>
                <c:pt idx="24">
                  <c:v>0.00448787370671044</c:v>
                </c:pt>
                <c:pt idx="25">
                  <c:v>0.00233463059303113</c:v>
                </c:pt>
                <c:pt idx="26">
                  <c:v>0.00118208251903046</c:v>
                </c:pt>
                <c:pt idx="27">
                  <c:v>0.000582885653874939</c:v>
                </c:pt>
                <c:pt idx="28">
                  <c:v>0.000280082714061974</c:v>
                </c:pt>
                <c:pt idx="29">
                  <c:v>0.000131226921653424</c:v>
                </c:pt>
                <c:pt idx="30">
                  <c:v>5.99877159859234E-005</c:v>
                </c:pt>
              </c:numCache>
            </c:numRef>
          </c:yVal>
          <c:smooth val="1"/>
        </c:ser>
        <c:axId val="44114113"/>
        <c:axId val="47963509"/>
      </c:scatterChart>
      <c:valAx>
        <c:axId val="44114113"/>
        <c:scaling>
          <c:orientation val="minMax"/>
          <c:max val="70"/>
          <c:min val="5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x, stock price</a:t>
                </a:r>
              </a:p>
            </c:rich>
          </c:tx>
          <c:layout>
            <c:manualLayout>
              <c:xMode val="edge"/>
              <c:yMode val="edge"/>
              <c:x val="0.839923408329344"/>
              <c:y val="0.91852951449528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63509"/>
        <c:crossesAt val="0"/>
        <c:crossBetween val="midCat"/>
      </c:valAx>
      <c:valAx>
        <c:axId val="47963509"/>
        <c:scaling>
          <c:orientation val="minMax"/>
          <c:max val="10"/>
          <c:min val="0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layout>
            <c:manualLayout>
              <c:xMode val="edge"/>
              <c:yMode val="edge"/>
              <c:x val="0.0271421732886549"/>
              <c:y val="0.45895913377576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114113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167013298039957"/>
          <c:y val="0.00800343004144632"/>
          <c:w val="0.787168336799647"/>
          <c:h val="0.99199656995855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33CCCC"/>
            </a:solidFill>
            <a:ln w="25200">
              <a:solidFill>
                <a:srgbClr val="33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Sheet2!$A$10:$A$40</c:f>
              <c:numCache>
                <c:formatCode>General</c:formatCode>
                <c:ptCount val="31"/>
                <c:pt idx="0">
                  <c:v>50</c:v>
                </c:pt>
                <c:pt idx="1">
                  <c:v>50.75</c:v>
                </c:pt>
                <c:pt idx="2">
                  <c:v>51.5</c:v>
                </c:pt>
                <c:pt idx="3">
                  <c:v>52.25</c:v>
                </c:pt>
                <c:pt idx="4">
                  <c:v>53</c:v>
                </c:pt>
                <c:pt idx="5">
                  <c:v>53.75</c:v>
                </c:pt>
                <c:pt idx="6">
                  <c:v>54.5</c:v>
                </c:pt>
                <c:pt idx="7">
                  <c:v>55.25</c:v>
                </c:pt>
                <c:pt idx="8">
                  <c:v>56</c:v>
                </c:pt>
                <c:pt idx="9">
                  <c:v>56.75</c:v>
                </c:pt>
                <c:pt idx="10">
                  <c:v>57.5</c:v>
                </c:pt>
                <c:pt idx="11">
                  <c:v>58.25</c:v>
                </c:pt>
                <c:pt idx="12">
                  <c:v>59</c:v>
                </c:pt>
                <c:pt idx="13">
                  <c:v>59.75</c:v>
                </c:pt>
                <c:pt idx="14">
                  <c:v>60.5</c:v>
                </c:pt>
                <c:pt idx="15">
                  <c:v>61.25</c:v>
                </c:pt>
                <c:pt idx="16">
                  <c:v>62</c:v>
                </c:pt>
                <c:pt idx="17">
                  <c:v>62.75</c:v>
                </c:pt>
                <c:pt idx="18">
                  <c:v>63.5</c:v>
                </c:pt>
                <c:pt idx="19">
                  <c:v>64.25</c:v>
                </c:pt>
                <c:pt idx="20">
                  <c:v>65</c:v>
                </c:pt>
                <c:pt idx="21">
                  <c:v>65.75</c:v>
                </c:pt>
                <c:pt idx="22">
                  <c:v>66.5</c:v>
                </c:pt>
                <c:pt idx="23">
                  <c:v>67.25</c:v>
                </c:pt>
                <c:pt idx="24">
                  <c:v>68</c:v>
                </c:pt>
                <c:pt idx="25">
                  <c:v>68.75</c:v>
                </c:pt>
                <c:pt idx="26">
                  <c:v>69.5</c:v>
                </c:pt>
                <c:pt idx="27">
                  <c:v>70.25</c:v>
                </c:pt>
                <c:pt idx="28">
                  <c:v>71</c:v>
                </c:pt>
                <c:pt idx="29">
                  <c:v>71.75</c:v>
                </c:pt>
                <c:pt idx="30">
                  <c:v>72.5</c:v>
                </c:pt>
              </c:numCache>
            </c:numRef>
          </c:xVal>
          <c:yVal>
            <c:numRef>
              <c:f>Sheet2!$F$10:$F$40</c:f>
              <c:numCache>
                <c:formatCode>0.0</c:formatCode>
                <c:ptCount val="31"/>
                <c:pt idx="0">
                  <c:v>-8.81192039840531</c:v>
                </c:pt>
                <c:pt idx="1">
                  <c:v>-8.06192039840531</c:v>
                </c:pt>
                <c:pt idx="2">
                  <c:v>-7.31192039840531</c:v>
                </c:pt>
                <c:pt idx="3">
                  <c:v>-6.56192039840531</c:v>
                </c:pt>
                <c:pt idx="4">
                  <c:v>-5.81192039840532</c:v>
                </c:pt>
                <c:pt idx="5">
                  <c:v>-5.06192039840532</c:v>
                </c:pt>
                <c:pt idx="6">
                  <c:v>-4.31192039840532</c:v>
                </c:pt>
                <c:pt idx="7">
                  <c:v>-3.56192039840531</c:v>
                </c:pt>
                <c:pt idx="8">
                  <c:v>-2.81192039840531</c:v>
                </c:pt>
                <c:pt idx="9">
                  <c:v>-2.06192039840531</c:v>
                </c:pt>
                <c:pt idx="10">
                  <c:v>-1.31192039840531</c:v>
                </c:pt>
                <c:pt idx="11">
                  <c:v>-0.561920398405313</c:v>
                </c:pt>
                <c:pt idx="12">
                  <c:v>0.188079601594691</c:v>
                </c:pt>
                <c:pt idx="13">
                  <c:v>0.938079601594691</c:v>
                </c:pt>
                <c:pt idx="14">
                  <c:v>1.68807960159469</c:v>
                </c:pt>
                <c:pt idx="15">
                  <c:v>2.43807960159469</c:v>
                </c:pt>
                <c:pt idx="16">
                  <c:v>3.18807960159469</c:v>
                </c:pt>
                <c:pt idx="17">
                  <c:v>3.93807960159469</c:v>
                </c:pt>
                <c:pt idx="18">
                  <c:v>4.68807960159469</c:v>
                </c:pt>
                <c:pt idx="19">
                  <c:v>5.43807960159469</c:v>
                </c:pt>
                <c:pt idx="20">
                  <c:v>6.18807960159469</c:v>
                </c:pt>
                <c:pt idx="21">
                  <c:v>6.93807960159468</c:v>
                </c:pt>
                <c:pt idx="22">
                  <c:v>7.68807960159469</c:v>
                </c:pt>
                <c:pt idx="23">
                  <c:v>8.43807960159469</c:v>
                </c:pt>
                <c:pt idx="24">
                  <c:v>9.18807960159469</c:v>
                </c:pt>
                <c:pt idx="25">
                  <c:v>9.93807960159468</c:v>
                </c:pt>
                <c:pt idx="26">
                  <c:v>10.6880796015947</c:v>
                </c:pt>
                <c:pt idx="27">
                  <c:v>11.4380796015947</c:v>
                </c:pt>
                <c:pt idx="28">
                  <c:v>12.1880796015947</c:v>
                </c:pt>
                <c:pt idx="29">
                  <c:v>12.9380796015947</c:v>
                </c:pt>
                <c:pt idx="30">
                  <c:v>13.6880796015947</c:v>
                </c:pt>
              </c:numCache>
            </c:numRef>
          </c:yVal>
          <c:smooth val="0"/>
        </c:ser>
        <c:axId val="77745815"/>
        <c:axId val="22900947"/>
      </c:scatterChart>
      <c:valAx>
        <c:axId val="77745815"/>
        <c:scaling>
          <c:orientation val="minMax"/>
          <c:min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00947"/>
        <c:crossesAt val="0"/>
        <c:crossBetween val="midCat"/>
      </c:valAx>
      <c:valAx>
        <c:axId val="22900947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0.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45815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14268607802357"/>
          <c:y val="0.476132628269258"/>
          <c:w val="0.131152706875906"/>
          <c:h val="0.042875518079176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99000</xdr:rowOff>
    </xdr:from>
    <xdr:to>
      <xdr:col>8</xdr:col>
      <xdr:colOff>819360</xdr:colOff>
      <xdr:row>41</xdr:row>
      <xdr:rowOff>22680</xdr:rowOff>
    </xdr:to>
    <xdr:graphicFrame>
      <xdr:nvGraphicFramePr>
        <xdr:cNvPr id="1" name="Chart 1"/>
        <xdr:cNvGraphicFramePr/>
      </xdr:nvGraphicFramePr>
      <xdr:xfrm>
        <a:off x="0" y="1920240"/>
        <a:ext cx="7520040" cy="412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162000</xdr:colOff>
      <xdr:row>4</xdr:row>
      <xdr:rowOff>136800</xdr:rowOff>
    </xdr:from>
    <xdr:to>
      <xdr:col>13</xdr:col>
      <xdr:colOff>10800</xdr:colOff>
      <xdr:row>38</xdr:row>
      <xdr:rowOff>15480</xdr:rowOff>
    </xdr:to>
    <xdr:graphicFrame>
      <xdr:nvGraphicFramePr>
        <xdr:cNvPr id="2" name="Chart 1"/>
        <xdr:cNvGraphicFramePr/>
      </xdr:nvGraphicFramePr>
      <xdr:xfrm>
        <a:off x="5187240" y="731160"/>
        <a:ext cx="5711760" cy="50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921875" defaultRowHeight="11.4" customHeight="false" zeroHeight="false" outlineLevelRow="0" outlineLevelCol="0"/>
  <sheetData>
    <row r="1" customFormat="false" ht="11.4" hidden="false" customHeight="false" outlineLevel="0" collapsed="false">
      <c r="A1" s="0" t="s">
        <v>0</v>
      </c>
    </row>
    <row r="2" customFormat="false" ht="12" hidden="false" customHeight="false" outlineLevel="0" collapsed="false">
      <c r="A2" s="1" t="s">
        <v>1</v>
      </c>
      <c r="B2" s="1" t="n">
        <v>59</v>
      </c>
    </row>
    <row r="3" customFormat="false" ht="12" hidden="false" customHeight="false" outlineLevel="0" collapsed="false">
      <c r="A3" s="1" t="s">
        <v>2</v>
      </c>
      <c r="B3" s="1" t="n">
        <v>60</v>
      </c>
    </row>
    <row r="4" customFormat="false" ht="12" hidden="false" customHeight="false" outlineLevel="0" collapsed="false">
      <c r="A4" s="1" t="s">
        <v>3</v>
      </c>
      <c r="B4" s="1" t="n">
        <v>0.25</v>
      </c>
    </row>
    <row r="5" customFormat="false" ht="12" hidden="false" customHeight="false" outlineLevel="0" collapsed="false">
      <c r="A5" s="1" t="s">
        <v>4</v>
      </c>
      <c r="B5" s="2" t="n">
        <v>0.08</v>
      </c>
      <c r="C5" s="0" t="s">
        <v>5</v>
      </c>
    </row>
    <row r="6" customFormat="false" ht="12" hidden="false" customHeight="false" outlineLevel="0" collapsed="false">
      <c r="A6" s="1" t="s">
        <v>6</v>
      </c>
      <c r="B6" s="3" t="n">
        <v>0.11</v>
      </c>
      <c r="C6" s="0" t="s">
        <v>7</v>
      </c>
    </row>
    <row r="7" customFormat="false" ht="12" hidden="false" customHeight="false" outlineLevel="0" collapsed="false">
      <c r="A7" s="1"/>
      <c r="B7" s="1"/>
      <c r="C7" s="0" t="s">
        <v>8</v>
      </c>
    </row>
    <row r="8" customFormat="false" ht="12" hidden="false" customHeight="false" outlineLevel="0" collapsed="false">
      <c r="A8" s="1" t="s">
        <v>9</v>
      </c>
      <c r="B8" s="4" t="n">
        <f aca="false">(LN(B2/B3)+(B5+B6^2/2)*B4)/(B6*SQRT(B4))</f>
        <v>0.085552394247613</v>
      </c>
    </row>
    <row r="9" customFormat="false" ht="12" hidden="false" customHeight="false" outlineLevel="0" collapsed="false">
      <c r="A9" s="1" t="s">
        <v>10</v>
      </c>
      <c r="B9" s="4" t="n">
        <f aca="false">B8-B6*SQRT(B4)</f>
        <v>0.0305523942476129</v>
      </c>
    </row>
    <row r="10" customFormat="false" ht="12" hidden="false" customHeight="false" outlineLevel="0" collapsed="false">
      <c r="A10" s="1"/>
      <c r="B10" s="1"/>
    </row>
    <row r="11" customFormat="false" ht="12" hidden="false" customHeight="false" outlineLevel="0" collapsed="false">
      <c r="A11" s="1" t="s">
        <v>11</v>
      </c>
      <c r="B11" s="4" t="n">
        <f aca="false">B2*NORMSDIST(B8)-B3*EXP(-B5*B4)*NORMSDIST(B9)</f>
        <v>1.38855768974455</v>
      </c>
      <c r="C11" s="0" t="s">
        <v>12</v>
      </c>
    </row>
    <row r="12" customFormat="false" ht="12" hidden="false" customHeight="false" outlineLevel="0" collapsed="false">
      <c r="A12" s="1" t="s">
        <v>13</v>
      </c>
      <c r="B12" s="4" t="n">
        <f aca="false">B3*EXP(-B5*B4)*NORMSDIST(-B9)-B2*NORMSDIST(-B8)</f>
        <v>1.20047808814986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E5" activeCellId="0" sqref="E5"/>
    </sheetView>
  </sheetViews>
  <sheetFormatPr defaultColWidth="10.9921875" defaultRowHeight="11.4" customHeight="false" zeroHeight="false" outlineLevelRow="0" outlineLevelCol="0"/>
  <sheetData>
    <row r="1" customFormat="false" ht="11.4" hidden="false" customHeight="false" outlineLevel="0" collapsed="false">
      <c r="A1" s="0" t="n">
        <v>0.75</v>
      </c>
      <c r="B1" s="0" t="s">
        <v>14</v>
      </c>
      <c r="C1" s="0" t="s">
        <v>15</v>
      </c>
    </row>
    <row r="3" customFormat="false" ht="12" hidden="false" customHeight="false" outlineLevel="0" collapsed="false">
      <c r="A3" s="1" t="s">
        <v>16</v>
      </c>
      <c r="B3" s="0" t="n">
        <f aca="false">Sheet1!B3</f>
        <v>60</v>
      </c>
    </row>
    <row r="4" customFormat="false" ht="12" hidden="false" customHeight="false" outlineLevel="0" collapsed="false">
      <c r="A4" s="1" t="s">
        <v>17</v>
      </c>
      <c r="B4" s="0" t="n">
        <f aca="false">Sheet1!B4</f>
        <v>0.25</v>
      </c>
    </row>
    <row r="5" customFormat="false" ht="12" hidden="false" customHeight="false" outlineLevel="0" collapsed="false">
      <c r="A5" s="1" t="s">
        <v>18</v>
      </c>
      <c r="B5" s="5" t="n">
        <f aca="false">Sheet1!B5</f>
        <v>0.08</v>
      </c>
    </row>
    <row r="6" customFormat="false" ht="12" hidden="false" customHeight="false" outlineLevel="0" collapsed="false">
      <c r="A6" s="1" t="s">
        <v>19</v>
      </c>
      <c r="B6" s="3" t="n">
        <f aca="false">Sheet1!B6</f>
        <v>0.11</v>
      </c>
    </row>
    <row r="9" customFormat="false" ht="11.4" hidden="false" customHeight="false" outlineLevel="0" collapsed="false">
      <c r="A9" s="0" t="s">
        <v>1</v>
      </c>
      <c r="B9" s="0" t="s">
        <v>9</v>
      </c>
      <c r="C9" s="0" t="s">
        <v>10</v>
      </c>
      <c r="D9" s="0" t="s">
        <v>20</v>
      </c>
      <c r="E9" s="0" t="s">
        <v>21</v>
      </c>
      <c r="F9" s="0" t="s">
        <v>22</v>
      </c>
    </row>
    <row r="10" customFormat="false" ht="12" hidden="false" customHeight="false" outlineLevel="0" collapsed="false">
      <c r="A10" s="0" t="n">
        <v>50</v>
      </c>
      <c r="B10" s="4" t="n">
        <f aca="false">(LN($A10/$B$3)+($B$5+$B$6^2/2)*$B$4)/($B$6*SQRT($B$4))</f>
        <v>-2.92380103261736</v>
      </c>
      <c r="C10" s="4" t="n">
        <f aca="false">$B10-$B$6*SQRT($B$4)</f>
        <v>-2.97880103261736</v>
      </c>
      <c r="D10" s="6" t="n">
        <f aca="false">$A10*NORMSDIST($B10)-$B$3*EXP(-$B$5*$B$4)*NORMSDIST($C10)</f>
        <v>0.00135186182798433</v>
      </c>
      <c r="E10" s="6" t="n">
        <f aca="false">$B$3*EXP(-$B$5*$B$4)*NORMSDIST(-$C10)-$A10*NORMSDIST(-$B10)</f>
        <v>8.8132722602333</v>
      </c>
      <c r="F10" s="7" t="n">
        <f aca="false">D10-E10</f>
        <v>-8.81192039840531</v>
      </c>
    </row>
    <row r="11" customFormat="false" ht="12" hidden="false" customHeight="false" outlineLevel="0" collapsed="false">
      <c r="A11" s="0" t="n">
        <f aca="false">$A10+$A$1</f>
        <v>50.75</v>
      </c>
      <c r="B11" s="4" t="n">
        <f aca="false">(LN($A11/$B$3)+($B$5+$B$6^2/2)*$B$4)/($B$6*SQRT($B$4))</f>
        <v>-2.65309898727644</v>
      </c>
      <c r="C11" s="4" t="n">
        <f aca="false">$B11-$B$6*SQRT($B$4)</f>
        <v>-2.70809898727644</v>
      </c>
      <c r="D11" s="6" t="n">
        <f aca="false">$A11*NORMSDIST($B11)-$B$3*EXP(-$B$5*$B$4)*NORMSDIST($C11)</f>
        <v>0.00339241198588561</v>
      </c>
      <c r="E11" s="6" t="n">
        <f aca="false">$B$3*EXP(-$B$5*$B$4)*NORMSDIST(-$C11)-$A11*NORMSDIST(-$B11)</f>
        <v>8.0653128103912</v>
      </c>
      <c r="F11" s="7" t="n">
        <f aca="false">D11-E11</f>
        <v>-8.06192039840531</v>
      </c>
    </row>
    <row r="12" customFormat="false" ht="12" hidden="false" customHeight="false" outlineLevel="0" collapsed="false">
      <c r="A12" s="0" t="n">
        <f aca="false">$A11+$A$1</f>
        <v>51.5</v>
      </c>
      <c r="B12" s="4" t="n">
        <f aca="false">(LN($A12/$B$3)+($B$5+$B$6^2/2)*$B$4)/($B$6*SQRT($B$4))</f>
        <v>-2.38636826458928</v>
      </c>
      <c r="C12" s="4" t="n">
        <f aca="false">$B12-$B$6*SQRT($B$4)</f>
        <v>-2.44136826458928</v>
      </c>
      <c r="D12" s="6" t="n">
        <f aca="false">$A12*NORMSDIST($B12)-$B$3*EXP(-$B$5*$B$4)*NORMSDIST($C12)</f>
        <v>0.0078943971496786</v>
      </c>
      <c r="E12" s="6" t="n">
        <f aca="false">$B$3*EXP(-$B$5*$B$4)*NORMSDIST(-$C12)-$A12*NORMSDIST(-$B12)</f>
        <v>7.31981479555499</v>
      </c>
      <c r="F12" s="7" t="n">
        <f aca="false">D12-E12</f>
        <v>-7.31192039840531</v>
      </c>
    </row>
    <row r="13" customFormat="false" ht="12" hidden="false" customHeight="false" outlineLevel="0" collapsed="false">
      <c r="A13" s="0" t="n">
        <f aca="false">$A12+$A$1</f>
        <v>52.25</v>
      </c>
      <c r="B13" s="4" t="n">
        <f aca="false">(LN($A13/$B$3)+($B$5+$B$6^2/2)*$B$4)/($B$6*SQRT($B$4))</f>
        <v>-2.12349402503964</v>
      </c>
      <c r="C13" s="4" t="n">
        <f aca="false">$B13-$B$6*SQRT($B$4)</f>
        <v>-2.17849402503964</v>
      </c>
      <c r="D13" s="6" t="n">
        <f aca="false">$A13*NORMSDIST($B13)-$B$3*EXP(-$B$5*$B$4)*NORMSDIST($C13)</f>
        <v>0.0171066481049735</v>
      </c>
      <c r="E13" s="6" t="n">
        <f aca="false">$B$3*EXP(-$B$5*$B$4)*NORMSDIST(-$C13)-$A13*NORMSDIST(-$B13)</f>
        <v>6.57902704651028</v>
      </c>
      <c r="F13" s="7" t="n">
        <f aca="false">D13-E13</f>
        <v>-6.56192039840531</v>
      </c>
    </row>
    <row r="14" customFormat="false" ht="12" hidden="false" customHeight="false" outlineLevel="0" collapsed="false">
      <c r="A14" s="0" t="n">
        <f aca="false">$A13+$A$1</f>
        <v>53</v>
      </c>
      <c r="B14" s="4" t="n">
        <f aca="false">(LN($A14/$B$3)+($B$5+$B$6^2/2)*$B$4)/($B$6*SQRT($B$4))</f>
        <v>-1.86436633945416</v>
      </c>
      <c r="C14" s="4" t="n">
        <f aca="false">$B14-$B$6*SQRT($B$4)</f>
        <v>-1.91936633945416</v>
      </c>
      <c r="D14" s="6" t="n">
        <f aca="false">$A14*NORMSDIST($B14)-$B$3*EXP(-$B$5*$B$4)*NORMSDIST($C14)</f>
        <v>0.0346580459672941</v>
      </c>
      <c r="E14" s="6" t="n">
        <f aca="false">$B$3*EXP(-$B$5*$B$4)*NORMSDIST(-$C14)-$A14*NORMSDIST(-$B14)</f>
        <v>5.84657844437261</v>
      </c>
      <c r="F14" s="7" t="n">
        <f aca="false">D14-E14</f>
        <v>-5.81192039840532</v>
      </c>
    </row>
    <row r="15" customFormat="false" ht="12" hidden="false" customHeight="false" outlineLevel="0" collapsed="false">
      <c r="A15" s="0" t="n">
        <f aca="false">$A14+$A$1</f>
        <v>53.75</v>
      </c>
      <c r="B15" s="4" t="n">
        <f aca="false">(LN($A15/$B$3)+($B$5+$B$6^2/2)*$B$4)/($B$6*SQRT($B$4))</f>
        <v>-1.60887991298779</v>
      </c>
      <c r="C15" s="4" t="n">
        <f aca="false">$B15-$B$6*SQRT($B$4)</f>
        <v>-1.66387991298779</v>
      </c>
      <c r="D15" s="6" t="n">
        <f aca="false">$A15*NORMSDIST($B15)-$B$3*EXP(-$B$5*$B$4)*NORMSDIST($C15)</f>
        <v>0.0659109101599982</v>
      </c>
      <c r="E15" s="6" t="n">
        <f aca="false">$B$3*EXP(-$B$5*$B$4)*NORMSDIST(-$C15)-$A15*NORMSDIST(-$B15)</f>
        <v>5.12783130856531</v>
      </c>
      <c r="F15" s="7" t="n">
        <f aca="false">D15-E15</f>
        <v>-5.06192039840532</v>
      </c>
    </row>
    <row r="16" customFormat="false" ht="12" hidden="false" customHeight="false" outlineLevel="0" collapsed="false">
      <c r="A16" s="0" t="n">
        <f aca="false">$A15+$A$1</f>
        <v>54.5</v>
      </c>
      <c r="B16" s="4" t="n">
        <f aca="false">(LN($A16/$B$3)+($B$5+$B$6^2/2)*$B$4)/($B$6*SQRT($B$4))</f>
        <v>-1.35693382823459</v>
      </c>
      <c r="C16" s="4" t="n">
        <f aca="false">$B16-$B$6*SQRT($B$4)</f>
        <v>-1.41193382823459</v>
      </c>
      <c r="D16" s="6" t="n">
        <f aca="false">$A16*NORMSDIST($B16)-$B$3*EXP(-$B$5*$B$4)*NORMSDIST($C16)</f>
        <v>0.118117715608437</v>
      </c>
      <c r="E16" s="6" t="n">
        <f aca="false">$B$3*EXP(-$B$5*$B$4)*NORMSDIST(-$C16)-$A16*NORMSDIST(-$B16)</f>
        <v>4.43003811401376</v>
      </c>
      <c r="F16" s="7" t="n">
        <f aca="false">D16-E16</f>
        <v>-4.31192039840532</v>
      </c>
    </row>
    <row r="17" customFormat="false" ht="12" hidden="false" customHeight="false" outlineLevel="0" collapsed="false">
      <c r="A17" s="0" t="n">
        <f aca="false">$A16+$A$1</f>
        <v>55.25</v>
      </c>
      <c r="B17" s="4" t="n">
        <f aca="false">(LN($A17/$B$3)+($B$5+$B$6^2/2)*$B$4)/($B$6*SQRT($B$4))</f>
        <v>-1.10843130589525</v>
      </c>
      <c r="C17" s="4" t="n">
        <f aca="false">$B17-$B$6*SQRT($B$4)</f>
        <v>-1.16343130589525</v>
      </c>
      <c r="D17" s="6" t="n">
        <f aca="false">$A17*NORMSDIST($B17)-$B$3*EXP(-$B$5*$B$4)*NORMSDIST($C17)</f>
        <v>0.200236121425858</v>
      </c>
      <c r="E17" s="6" t="n">
        <f aca="false">$B$3*EXP(-$B$5*$B$4)*NORMSDIST(-$C17)-$A17*NORMSDIST(-$B17)</f>
        <v>3.76215651983117</v>
      </c>
      <c r="F17" s="7" t="n">
        <f aca="false">D17-E17</f>
        <v>-3.56192039840531</v>
      </c>
    </row>
    <row r="18" customFormat="false" ht="12" hidden="false" customHeight="false" outlineLevel="0" collapsed="false">
      <c r="A18" s="0" t="n">
        <f aca="false">$A17+$A$1</f>
        <v>56</v>
      </c>
      <c r="B18" s="4" t="n">
        <f aca="false">(LN($A18/$B$3)+($B$5+$B$6^2/2)*$B$4)/($B$6*SQRT($B$4))</f>
        <v>-0.863279481580935</v>
      </c>
      <c r="C18" s="4" t="n">
        <f aca="false">$B18-$B$6*SQRT($B$4)</f>
        <v>-0.918279481580935</v>
      </c>
      <c r="D18" s="6" t="n">
        <f aca="false">$A18*NORMSDIST($B18)-$B$3*EXP(-$B$5*$B$4)*NORMSDIST($C18)</f>
        <v>0.322317011465842</v>
      </c>
      <c r="E18" s="6" t="n">
        <f aca="false">$B$3*EXP(-$B$5*$B$4)*NORMSDIST(-$C18)-$A18*NORMSDIST(-$B18)</f>
        <v>3.13423740987115</v>
      </c>
      <c r="F18" s="7" t="n">
        <f aca="false">D18-E18</f>
        <v>-2.81192039840531</v>
      </c>
    </row>
    <row r="19" customFormat="false" ht="12" hidden="false" customHeight="false" outlineLevel="0" collapsed="false">
      <c r="A19" s="0" t="n">
        <f aca="false">$A18+$A$1</f>
        <v>56.75</v>
      </c>
      <c r="B19" s="4" t="n">
        <f aca="false">(LN($A19/$B$3)+($B$5+$B$6^2/2)*$B$4)/($B$6*SQRT($B$4))</f>
        <v>-0.621389197465249</v>
      </c>
      <c r="C19" s="4" t="n">
        <f aca="false">$B19-$B$6*SQRT($B$4)</f>
        <v>-0.676389197465249</v>
      </c>
      <c r="D19" s="6" t="n">
        <f aca="false">$A19*NORMSDIST($B19)-$B$3*EXP(-$B$5*$B$4)*NORMSDIST($C19)</f>
        <v>0.494495039106157</v>
      </c>
      <c r="E19" s="6" t="n">
        <f aca="false">$B$3*EXP(-$B$5*$B$4)*NORMSDIST(-$C19)-$A19*NORMSDIST(-$B19)</f>
        <v>2.55641543751147</v>
      </c>
      <c r="F19" s="7" t="n">
        <f aca="false">D19-E19</f>
        <v>-2.06192039840531</v>
      </c>
    </row>
    <row r="20" customFormat="false" ht="12" hidden="false" customHeight="false" outlineLevel="0" collapsed="false">
      <c r="A20" s="0" t="n">
        <f aca="false">$A19+$A$1</f>
        <v>57.5</v>
      </c>
      <c r="B20" s="4" t="n">
        <f aca="false">(LN($A20/$B$3)+($B$5+$B$6^2/2)*$B$4)/($B$6*SQRT($B$4))</f>
        <v>-0.382674807614471</v>
      </c>
      <c r="C20" s="4" t="n">
        <f aca="false">$B20-$B$6*SQRT($B$4)</f>
        <v>-0.437674807614471</v>
      </c>
      <c r="D20" s="6" t="n">
        <f aca="false">$A20*NORMSDIST($B20)-$B$3*EXP(-$B$5*$B$4)*NORMSDIST($C20)</f>
        <v>0.72574455240224</v>
      </c>
      <c r="E20" s="6" t="n">
        <f aca="false">$B$3*EXP(-$B$5*$B$4)*NORMSDIST(-$C20)-$A20*NORMSDIST(-$B20)</f>
        <v>2.03766495080755</v>
      </c>
      <c r="F20" s="7" t="n">
        <f aca="false">D20-E20</f>
        <v>-1.31192039840531</v>
      </c>
    </row>
    <row r="21" customFormat="false" ht="12" hidden="false" customHeight="false" outlineLevel="0" collapsed="false">
      <c r="A21" s="0" t="n">
        <f aca="false">$A20+$A$1</f>
        <v>58.25</v>
      </c>
      <c r="B21" s="4" t="n">
        <f aca="false">(LN($A21/$B$3)+($B$5+$B$6^2/2)*$B$4)/($B$6*SQRT($B$4))</f>
        <v>-0.147053995932559</v>
      </c>
      <c r="C21" s="4" t="n">
        <f aca="false">$B21-$B$6*SQRT($B$4)</f>
        <v>-0.202053995932559</v>
      </c>
      <c r="D21" s="6" t="n">
        <f aca="false">$A21*NORMSDIST($B21)-$B$3*EXP(-$B$5*$B$4)*NORMSDIST($C21)</f>
        <v>1.02266233177057</v>
      </c>
      <c r="E21" s="6" t="n">
        <f aca="false">$B$3*EXP(-$B$5*$B$4)*NORMSDIST(-$C21)-$A21*NORMSDIST(-$B21)</f>
        <v>1.58458273017588</v>
      </c>
      <c r="F21" s="7" t="n">
        <f aca="false">D21-E21</f>
        <v>-0.561920398405313</v>
      </c>
    </row>
    <row r="22" customFormat="false" ht="12" hidden="false" customHeight="false" outlineLevel="0" collapsed="false">
      <c r="A22" s="0" t="n">
        <f aca="false">$A21+$A$1</f>
        <v>59</v>
      </c>
      <c r="B22" s="4" t="n">
        <f aca="false">(LN($A22/$B$3)+($B$5+$B$6^2/2)*$B$4)/($B$6*SQRT($B$4))</f>
        <v>0.085552394247613</v>
      </c>
      <c r="C22" s="4" t="n">
        <f aca="false">$B22-$B$6*SQRT($B$4)</f>
        <v>0.0305523942476129</v>
      </c>
      <c r="D22" s="6" t="n">
        <f aca="false">$A22*NORMSDIST($B22)-$B$3*EXP(-$B$5*$B$4)*NORMSDIST($C22)</f>
        <v>1.38855768974455</v>
      </c>
      <c r="E22" s="6" t="n">
        <f aca="false">$B$3*EXP(-$B$5*$B$4)*NORMSDIST(-$C22)-$A22*NORMSDIST(-$B22)</f>
        <v>1.20047808814986</v>
      </c>
      <c r="F22" s="7" t="n">
        <f aca="false">D22-E22</f>
        <v>0.188079601594691</v>
      </c>
    </row>
    <row r="23" customFormat="false" ht="12" hidden="false" customHeight="false" outlineLevel="0" collapsed="false">
      <c r="A23" s="0" t="n">
        <f aca="false">$A22+$A$1</f>
        <v>59.75</v>
      </c>
      <c r="B23" s="4" t="n">
        <f aca="false">(LN($A23/$B$3)+($B$5+$B$6^2/2)*$B$4)/($B$6*SQRT($B$4))</f>
        <v>0.315220519809443</v>
      </c>
      <c r="C23" s="4" t="n">
        <f aca="false">$B23-$B$6*SQRT($B$4)</f>
        <v>0.260220519809443</v>
      </c>
      <c r="D23" s="6" t="n">
        <f aca="false">$A23*NORMSDIST($B23)-$B$3*EXP(-$B$5*$B$4)*NORMSDIST($C23)</f>
        <v>1.82305771287416</v>
      </c>
      <c r="E23" s="6" t="n">
        <f aca="false">$B$3*EXP(-$B$5*$B$4)*NORMSDIST(-$C23)-$A23*NORMSDIST(-$B23)</f>
        <v>0.88497811127947</v>
      </c>
      <c r="F23" s="7" t="n">
        <f aca="false">D23-E23</f>
        <v>0.938079601594691</v>
      </c>
    </row>
    <row r="24" customFormat="false" ht="12" hidden="false" customHeight="false" outlineLevel="0" collapsed="false">
      <c r="A24" s="0" t="n">
        <f aca="false">$A23+$A$1</f>
        <v>60.5</v>
      </c>
      <c r="B24" s="4" t="n">
        <f aca="false">(LN($A24/$B$3)+($B$5+$B$6^2/2)*$B$4)/($B$6*SQRT($B$4))</f>
        <v>0.54202368753991</v>
      </c>
      <c r="C24" s="4" t="n">
        <f aca="false">$B24-$B$6*SQRT($B$4)</f>
        <v>0.48702368753991</v>
      </c>
      <c r="D24" s="6" t="n">
        <f aca="false">$A24*NORMSDIST($B24)-$B$3*EXP(-$B$5*$B$4)*NORMSDIST($C24)</f>
        <v>2.32229735320487</v>
      </c>
      <c r="E24" s="6" t="n">
        <f aca="false">$B$3*EXP(-$B$5*$B$4)*NORMSDIST(-$C24)-$A24*NORMSDIST(-$B24)</f>
        <v>0.634217751610184</v>
      </c>
      <c r="F24" s="7" t="n">
        <f aca="false">D24-E24</f>
        <v>1.68807960159469</v>
      </c>
    </row>
    <row r="25" customFormat="false" ht="12" hidden="false" customHeight="false" outlineLevel="0" collapsed="false">
      <c r="A25" s="0" t="n">
        <f aca="false">$A24+$A$1</f>
        <v>61.25</v>
      </c>
      <c r="B25" s="4" t="n">
        <f aca="false">(LN($A25/$B$3)+($B$5+$B$6^2/2)*$B$4)/($B$6*SQRT($B$4))</f>
        <v>0.766032494595193</v>
      </c>
      <c r="C25" s="4" t="n">
        <f aca="false">$B25-$B$6*SQRT($B$4)</f>
        <v>0.711032494595193</v>
      </c>
      <c r="D25" s="6" t="n">
        <f aca="false">$A25*NORMSDIST($B25)-$B$3*EXP(-$B$5*$B$4)*NORMSDIST($C25)</f>
        <v>2.8796128974358</v>
      </c>
      <c r="E25" s="6" t="n">
        <f aca="false">$B$3*EXP(-$B$5*$B$4)*NORMSDIST(-$C25)-$A25*NORMSDIST(-$B25)</f>
        <v>0.44153329584111</v>
      </c>
      <c r="F25" s="7" t="n">
        <f aca="false">D25-E25</f>
        <v>2.43807960159469</v>
      </c>
    </row>
    <row r="26" customFormat="false" ht="12" hidden="false" customHeight="false" outlineLevel="0" collapsed="false">
      <c r="A26" s="0" t="n">
        <f aca="false">$A25+$A$1</f>
        <v>62</v>
      </c>
      <c r="B26" s="4" t="n">
        <f aca="false">(LN($A26/$B$3)+($B$5+$B$6^2/2)*$B$4)/($B$6*SQRT($B$4))</f>
        <v>0.987314960418018</v>
      </c>
      <c r="C26" s="4" t="n">
        <f aca="false">$B26-$B$6*SQRT($B$4)</f>
        <v>0.932314960418018</v>
      </c>
      <c r="D26" s="6" t="n">
        <f aca="false">$A26*NORMSDIST($B26)-$B$3*EXP(-$B$5*$B$4)*NORMSDIST($C26)</f>
        <v>3.48654572988215</v>
      </c>
      <c r="E26" s="6" t="n">
        <f aca="false">$B$3*EXP(-$B$5*$B$4)*NORMSDIST(-$C26)-$A26*NORMSDIST(-$B26)</f>
        <v>0.298466128287457</v>
      </c>
      <c r="F26" s="7" t="n">
        <f aca="false">D26-E26</f>
        <v>3.18807960159469</v>
      </c>
    </row>
    <row r="27" customFormat="false" ht="12" hidden="false" customHeight="false" outlineLevel="0" collapsed="false">
      <c r="A27" s="0" t="n">
        <f aca="false">$A26+$A$1</f>
        <v>62.75</v>
      </c>
      <c r="B27" s="4" t="n">
        <f aca="false">(LN($A27/$B$3)+($B$5+$B$6^2/2)*$B$4)/($B$6*SQRT($B$4))</f>
        <v>1.2059366507235</v>
      </c>
      <c r="C27" s="4" t="n">
        <f aca="false">$B27-$B$6*SQRT($B$4)</f>
        <v>1.1509366507235</v>
      </c>
      <c r="D27" s="6" t="n">
        <f aca="false">$A27*NORMSDIST($B27)-$B$3*EXP(-$B$5*$B$4)*NORMSDIST($C27)</f>
        <v>4.13392201947027</v>
      </c>
      <c r="E27" s="6" t="n">
        <f aca="false">$B$3*EXP(-$B$5*$B$4)*NORMSDIST(-$C27)-$A27*NORMSDIST(-$B27)</f>
        <v>0.195842417875582</v>
      </c>
      <c r="F27" s="7" t="n">
        <f aca="false">D27-E27</f>
        <v>3.93807960159469</v>
      </c>
    </row>
    <row r="28" customFormat="false" ht="12" hidden="false" customHeight="false" outlineLevel="0" collapsed="false">
      <c r="A28" s="0" t="n">
        <f aca="false">$A27+$A$1</f>
        <v>63.5</v>
      </c>
      <c r="B28" s="4" t="n">
        <f aca="false">(LN($A28/$B$3)+($B$5+$B$6^2/2)*$B$4)/($B$6*SQRT($B$4))</f>
        <v>1.42196079411901</v>
      </c>
      <c r="C28" s="4" t="n">
        <f aca="false">$B28-$B$6*SQRT($B$4)</f>
        <v>1.36696079411901</v>
      </c>
      <c r="D28" s="6" t="n">
        <f aca="false">$A28*NORMSDIST($B28)-$B$3*EXP(-$B$5*$B$4)*NORMSDIST($C28)</f>
        <v>4.81280303756974</v>
      </c>
      <c r="E28" s="6" t="n">
        <f aca="false">$B$3*EXP(-$B$5*$B$4)*NORMSDIST(-$C28)-$A28*NORMSDIST(-$B28)</f>
        <v>0.124723435975045</v>
      </c>
      <c r="F28" s="7" t="n">
        <f aca="false">D28-E28</f>
        <v>4.68807960159469</v>
      </c>
    </row>
    <row r="29" customFormat="false" ht="12" hidden="false" customHeight="false" outlineLevel="0" collapsed="false">
      <c r="A29" s="0" t="n">
        <f aca="false">$A28+$A$1</f>
        <v>64.25</v>
      </c>
      <c r="B29" s="4" t="n">
        <f aca="false">(LN($A29/$B$3)+($B$5+$B$6^2/2)*$B$4)/($B$6*SQRT($B$4))</f>
        <v>1.63544839187688</v>
      </c>
      <c r="C29" s="4" t="n">
        <f aca="false">$B29-$B$6*SQRT($B$4)</f>
        <v>1.58044839187688</v>
      </c>
      <c r="D29" s="6" t="n">
        <f aca="false">$A29*NORMSDIST($B29)-$B$3*EXP(-$B$5*$B$4)*NORMSDIST($C29)</f>
        <v>5.51517595798247</v>
      </c>
      <c r="E29" s="6" t="n">
        <f aca="false">$B$3*EXP(-$B$5*$B$4)*NORMSDIST(-$C29)-$A29*NORMSDIST(-$B29)</f>
        <v>0.0770963563877851</v>
      </c>
      <c r="F29" s="7" t="n">
        <f aca="false">D29-E29</f>
        <v>5.43807960159469</v>
      </c>
    </row>
    <row r="30" customFormat="false" ht="12" hidden="false" customHeight="false" outlineLevel="0" collapsed="false">
      <c r="A30" s="0" t="n">
        <f aca="false">$A29+$A$1</f>
        <v>65</v>
      </c>
      <c r="B30" s="4" t="n">
        <f aca="false">(LN($A30/$B$3)+($B$5+$B$6^2/2)*$B$4)/($B$6*SQRT($B$4))</f>
        <v>1.84645832133702</v>
      </c>
      <c r="C30" s="4" t="n">
        <f aca="false">$B30-$B$6*SQRT($B$4)</f>
        <v>1.79145832133702</v>
      </c>
      <c r="D30" s="6" t="n">
        <f aca="false">$A30*NORMSDIST($B30)-$B$3*EXP(-$B$5*$B$4)*NORMSDIST($C30)</f>
        <v>6.2343426679745</v>
      </c>
      <c r="E30" s="6" t="n">
        <f aca="false">$B$3*EXP(-$B$5*$B$4)*NORMSDIST(-$C30)-$A30*NORMSDIST(-$B30)</f>
        <v>0.0462630663798156</v>
      </c>
      <c r="F30" s="7" t="n">
        <f aca="false">D30-E30</f>
        <v>6.18807960159469</v>
      </c>
    </row>
    <row r="31" customFormat="false" ht="12" hidden="false" customHeight="false" outlineLevel="0" collapsed="false">
      <c r="A31" s="0" t="n">
        <f aca="false">$A30+$A$1</f>
        <v>65.75</v>
      </c>
      <c r="B31" s="4" t="n">
        <f aca="false">(LN($A31/$B$3)+($B$5+$B$6^2/2)*$B$4)/($B$6*SQRT($B$4))</f>
        <v>2.0550474333777</v>
      </c>
      <c r="C31" s="4" t="n">
        <f aca="false">$B31-$B$6*SQRT($B$4)</f>
        <v>2.0000474333777</v>
      </c>
      <c r="D31" s="6" t="n">
        <f aca="false">$A31*NORMSDIST($B31)-$B$3*EXP(-$B$5*$B$4)*NORMSDIST($C31)</f>
        <v>6.96503627106841</v>
      </c>
      <c r="E31" s="6" t="n">
        <f aca="false">$B$3*EXP(-$B$5*$B$4)*NORMSDIST(-$C31)-$A31*NORMSDIST(-$B31)</f>
        <v>0.026956669473726</v>
      </c>
      <c r="F31" s="7" t="n">
        <f aca="false">D31-E31</f>
        <v>6.93807960159468</v>
      </c>
    </row>
    <row r="32" customFormat="false" ht="12" hidden="false" customHeight="false" outlineLevel="0" collapsed="false">
      <c r="A32" s="0" t="n">
        <f aca="false">$A31+$A$1</f>
        <v>66.5</v>
      </c>
      <c r="B32" s="4" t="n">
        <f aca="false">(LN($A32/$B$3)+($B$5+$B$6^2/2)*$B$4)/($B$6*SQRT($B$4))</f>
        <v>2.26127064435832</v>
      </c>
      <c r="C32" s="4" t="n">
        <f aca="false">$B32-$B$6*SQRT($B$4)</f>
        <v>2.20627064435832</v>
      </c>
      <c r="D32" s="6" t="n">
        <f aca="false">$A32*NORMSDIST($B32)-$B$3*EXP(-$B$5*$B$4)*NORMSDIST($C32)</f>
        <v>7.70333711392938</v>
      </c>
      <c r="E32" s="6" t="n">
        <f aca="false">$B$3*EXP(-$B$5*$B$4)*NORMSDIST(-$C32)-$A32*NORMSDIST(-$B32)</f>
        <v>0.0152575123346891</v>
      </c>
      <c r="F32" s="7" t="n">
        <f aca="false">D32-E32</f>
        <v>7.68807960159469</v>
      </c>
    </row>
    <row r="33" customFormat="false" ht="12" hidden="false" customHeight="false" outlineLevel="0" collapsed="false">
      <c r="A33" s="0" t="n">
        <f aca="false">$A32+$A$1</f>
        <v>67.25</v>
      </c>
      <c r="B33" s="4" t="n">
        <f aca="false">(LN($A33/$B$3)+($B$5+$B$6^2/2)*$B$4)/($B$6*SQRT($B$4))</f>
        <v>2.46518102290632</v>
      </c>
      <c r="C33" s="4" t="n">
        <f aca="false">$B33-$B$6*SQRT($B$4)</f>
        <v>2.41018102290632</v>
      </c>
      <c r="D33" s="6" t="n">
        <f aca="false">$A33*NORMSDIST($B33)-$B$3*EXP(-$B$5*$B$4)*NORMSDIST($C33)</f>
        <v>8.44647172796971</v>
      </c>
      <c r="E33" s="6" t="n">
        <f aca="false">$B$3*EXP(-$B$5*$B$4)*NORMSDIST(-$C33)-$A33*NORMSDIST(-$B33)</f>
        <v>0.00839212637502235</v>
      </c>
      <c r="F33" s="7" t="n">
        <f aca="false">D33-E33</f>
        <v>8.43807960159469</v>
      </c>
    </row>
    <row r="34" customFormat="false" ht="12" hidden="false" customHeight="false" outlineLevel="0" collapsed="false">
      <c r="A34" s="0" t="n">
        <f aca="false">$A33+$A$1</f>
        <v>68</v>
      </c>
      <c r="B34" s="4" t="n">
        <f aca="false">(LN($A34/$B$3)+($B$5+$B$6^2/2)*$B$4)/($B$6*SQRT($B$4))</f>
        <v>2.66682987189102</v>
      </c>
      <c r="C34" s="4" t="n">
        <f aca="false">$B34-$B$6*SQRT($B$4)</f>
        <v>2.61182987189102</v>
      </c>
      <c r="D34" s="6" t="n">
        <f aca="false">$A34*NORMSDIST($B34)-$B$3*EXP(-$B$5*$B$4)*NORMSDIST($C34)</f>
        <v>9.1925674753014</v>
      </c>
      <c r="E34" s="6" t="n">
        <f aca="false">$B$3*EXP(-$B$5*$B$4)*NORMSDIST(-$C34)-$A34*NORMSDIST(-$B34)</f>
        <v>0.00448787370671044</v>
      </c>
      <c r="F34" s="7" t="n">
        <f aca="false">D34-E34</f>
        <v>9.18807960159469</v>
      </c>
    </row>
    <row r="35" customFormat="false" ht="12" hidden="false" customHeight="false" outlineLevel="0" collapsed="false">
      <c r="A35" s="0" t="n">
        <f aca="false">$A34+$A$1</f>
        <v>68.75</v>
      </c>
      <c r="B35" s="4" t="n">
        <f aca="false">(LN($A35/$B$3)+($B$5+$B$6^2/2)*$B$4)/($B$6*SQRT($B$4))</f>
        <v>2.86626680590145</v>
      </c>
      <c r="C35" s="4" t="n">
        <f aca="false">$B35-$B$6*SQRT($B$4)</f>
        <v>2.81126680590145</v>
      </c>
      <c r="D35" s="6" t="n">
        <f aca="false">$A35*NORMSDIST($B35)-$B$3*EXP(-$B$5*$B$4)*NORMSDIST($C35)</f>
        <v>9.94041423218771</v>
      </c>
      <c r="E35" s="6" t="n">
        <f aca="false">$B$3*EXP(-$B$5*$B$4)*NORMSDIST(-$C35)-$A35*NORMSDIST(-$B35)</f>
        <v>0.00233463059303113</v>
      </c>
      <c r="F35" s="7" t="n">
        <f aca="false">D35-E35</f>
        <v>9.93807960159468</v>
      </c>
    </row>
    <row r="36" customFormat="false" ht="12" hidden="false" customHeight="false" outlineLevel="0" collapsed="false">
      <c r="A36" s="0" t="n">
        <f aca="false">$A35+$A$1</f>
        <v>69.5</v>
      </c>
      <c r="B36" s="4" t="n">
        <f aca="false">(LN($A36/$B$3)+($B$5+$B$6^2/2)*$B$4)/($B$6*SQRT($B$4))</f>
        <v>3.06353982452083</v>
      </c>
      <c r="C36" s="4" t="n">
        <f aca="false">$B36-$B$6*SQRT($B$4)</f>
        <v>3.00853982452083</v>
      </c>
      <c r="D36" s="6" t="n">
        <f aca="false">$A36*NORMSDIST($B36)-$B$3*EXP(-$B$5*$B$4)*NORMSDIST($C36)</f>
        <v>10.6892616841137</v>
      </c>
      <c r="E36" s="6" t="n">
        <f aca="false">$B$3*EXP(-$B$5*$B$4)*NORMSDIST(-$C36)-$A36*NORMSDIST(-$B36)</f>
        <v>0.00118208251903046</v>
      </c>
      <c r="F36" s="7" t="n">
        <f aca="false">D36-E36</f>
        <v>10.6880796015947</v>
      </c>
    </row>
    <row r="37" customFormat="false" ht="12" hidden="false" customHeight="false" outlineLevel="0" collapsed="false">
      <c r="A37" s="0" t="n">
        <f aca="false">$A36+$A$1</f>
        <v>70.25</v>
      </c>
      <c r="B37" s="4" t="n">
        <f aca="false">(LN($A37/$B$3)+($B$5+$B$6^2/2)*$B$4)/($B$6*SQRT($B$4))</f>
        <v>3.25869538166826</v>
      </c>
      <c r="C37" s="4" t="n">
        <f aca="false">$B37-$B$6*SQRT($B$4)</f>
        <v>3.20369538166826</v>
      </c>
      <c r="D37" s="6" t="n">
        <f aca="false">$A37*NORMSDIST($B37)-$B$3*EXP(-$B$5*$B$4)*NORMSDIST($C37)</f>
        <v>11.4386624872486</v>
      </c>
      <c r="E37" s="6" t="n">
        <f aca="false">$B$3*EXP(-$B$5*$B$4)*NORMSDIST(-$C37)-$A37*NORMSDIST(-$B37)</f>
        <v>0.000582885653874939</v>
      </c>
      <c r="F37" s="7" t="n">
        <f aca="false">D37-E37</f>
        <v>11.4380796015947</v>
      </c>
    </row>
    <row r="38" customFormat="false" ht="12" hidden="false" customHeight="false" outlineLevel="0" collapsed="false">
      <c r="A38" s="0" t="n">
        <f aca="false">$A37+$A$1</f>
        <v>71</v>
      </c>
      <c r="B38" s="4" t="n">
        <f aca="false">(LN($A38/$B$3)+($B$5+$B$6^2/2)*$B$4)/($B$6*SQRT($B$4))</f>
        <v>3.45177845125845</v>
      </c>
      <c r="C38" s="4" t="n">
        <f aca="false">$B38-$B$6*SQRT($B$4)</f>
        <v>3.39677845125845</v>
      </c>
      <c r="D38" s="6" t="n">
        <f aca="false">$A38*NORMSDIST($B38)-$B$3*EXP(-$B$5*$B$4)*NORMSDIST($C38)</f>
        <v>12.1883596843088</v>
      </c>
      <c r="E38" s="6" t="n">
        <f aca="false">$B$3*EXP(-$B$5*$B$4)*NORMSDIST(-$C38)-$A38*NORMSDIST(-$B38)</f>
        <v>0.000280082714061974</v>
      </c>
      <c r="F38" s="7" t="n">
        <f aca="false">D38-E38</f>
        <v>12.1880796015947</v>
      </c>
    </row>
    <row r="39" customFormat="false" ht="12" hidden="false" customHeight="false" outlineLevel="0" collapsed="false">
      <c r="A39" s="0" t="n">
        <f aca="false">$A38+$A$1</f>
        <v>71.75</v>
      </c>
      <c r="B39" s="4" t="n">
        <f aca="false">(LN($A39/$B$3)+($B$5+$B$6^2/2)*$B$4)/($B$6*SQRT($B$4))</f>
        <v>3.64283258941145</v>
      </c>
      <c r="C39" s="4" t="n">
        <f aca="false">$B39-$B$6*SQRT($B$4)</f>
        <v>3.58783258941145</v>
      </c>
      <c r="D39" s="6" t="n">
        <f aca="false">$A39*NORMSDIST($B39)-$B$3*EXP(-$B$5*$B$4)*NORMSDIST($C39)</f>
        <v>12.9382108285163</v>
      </c>
      <c r="E39" s="6" t="n">
        <f aca="false">$B$3*EXP(-$B$5*$B$4)*NORMSDIST(-$C39)-$A39*NORMSDIST(-$B39)</f>
        <v>0.000131226921653424</v>
      </c>
      <c r="F39" s="7" t="n">
        <f aca="false">D39-E39</f>
        <v>12.9380796015947</v>
      </c>
    </row>
    <row r="40" customFormat="false" ht="12" hidden="false" customHeight="false" outlineLevel="0" collapsed="false">
      <c r="A40" s="0" t="n">
        <f aca="false">$A39+$A$1</f>
        <v>72.5</v>
      </c>
      <c r="B40" s="4" t="n">
        <f aca="false">(LN($A40/$B$3)+($B$5+$B$6^2/2)*$B$4)/($B$6*SQRT($B$4))</f>
        <v>3.83189999342779</v>
      </c>
      <c r="C40" s="4" t="n">
        <f aca="false">$B40-$B$6*SQRT($B$4)</f>
        <v>3.77689999342779</v>
      </c>
      <c r="D40" s="6" t="n">
        <f aca="false">$A40*NORMSDIST($B40)-$B$3*EXP(-$B$5*$B$4)*NORMSDIST($C40)</f>
        <v>13.6881395893107</v>
      </c>
      <c r="E40" s="6" t="n">
        <f aca="false">$B$3*EXP(-$B$5*$B$4)*NORMSDIST(-$C40)-$A40*NORMSDIST(-$B40)</f>
        <v>5.99877159859234E-005</v>
      </c>
      <c r="F40" s="7" t="n">
        <f aca="false">D40-E40</f>
        <v>13.6880796015947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921875" defaultRowHeight="11.4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1999-10-23T05:57:38Z</dcterms:created>
  <dc:creator>Espen</dc:creator>
  <dc:description/>
  <dc:language>en-US</dc:language>
  <cp:lastModifiedBy>Windows User</cp:lastModifiedBy>
  <dcterms:modified xsi:type="dcterms:W3CDTF">2013-04-27T03:05:16Z</dcterms:modified>
  <cp:revision>0</cp:revision>
  <dc:subject/>
  <dc:title/>
</cp:coreProperties>
</file>