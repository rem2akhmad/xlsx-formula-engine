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Operations" sheetId="2" state="visible" r:id="rId4"/>
    <sheet name="Financing" sheetId="3" state="visible" r:id="rId5"/>
    <sheet name="Income" sheetId="4" state="visible" r:id="rId6"/>
    <sheet name="Balance sheet" sheetId="5" state="visible" r:id="rId7"/>
    <sheet name="Cash flows" sheetId="6" state="visible" r:id="rId8"/>
  </sheets>
  <definedNames>
    <definedName function="false" hidden="false" localSheetId="1" name="solver_adj" vbProcedure="false">Financing!$B$10:$E$10</definedName>
    <definedName function="false" hidden="false" localSheetId="1" name="solver_lhs1" vbProcedure="false">Financing!$E$10</definedName>
    <definedName function="false" hidden="false" localSheetId="1" name="solver_lhs2" vbProcedure="false">Financing!$E$34</definedName>
    <definedName function="false" hidden="false" localSheetId="1" name="solver_lhs3" vbProcedure="false">Financing!$B$10</definedName>
    <definedName function="false" hidden="false" localSheetId="1" name="solver_lhs4" vbProcedure="false">Financing!$C$10</definedName>
    <definedName function="false" hidden="false" localSheetId="1" name="solver_lhs5" vbProcedure="false">Financing!$D$10</definedName>
    <definedName function="false" hidden="false" localSheetId="1" name="solver_lhs6" vbProcedure="false">Financing!$B$34</definedName>
    <definedName function="false" hidden="false" localSheetId="1" name="solver_lhs7" vbProcedure="false">Financing!$C$34</definedName>
    <definedName function="false" hidden="false" localSheetId="1" name="solver_lhs8" vbProcedure="false">Financing!$D$34</definedName>
    <definedName function="false" hidden="false" localSheetId="1" name="solver_lhs9" vbProcedure="false">Financing!$E$34</definedName>
    <definedName function="false" hidden="false" localSheetId="1" name="solver_lin" vbProcedure="false">0</definedName>
    <definedName function="false" hidden="false" localSheetId="1" name="solver_num" vbProcedure="false">9</definedName>
    <definedName function="false" hidden="false" localSheetId="1" name="solver_opt" vbProcedure="false">Financing!$B$42</definedName>
    <definedName function="false" hidden="false" localSheetId="1" name="solver_rel1" vbProcedure="false">3</definedName>
    <definedName function="false" hidden="false" localSheetId="1" name="solver_rel2" vbProcedure="false">3</definedName>
    <definedName function="false" hidden="false" localSheetId="1" name="solver_rel3" vbProcedure="false">3</definedName>
    <definedName function="false" hidden="false" localSheetId="1" name="solver_rel4" vbProcedure="false">3</definedName>
    <definedName function="false" hidden="false" localSheetId="1" name="solver_rel5" vbProcedure="false">3</definedName>
    <definedName function="false" hidden="false" localSheetId="1" name="solver_rel6" vbProcedure="false">3</definedName>
    <definedName function="false" hidden="false" localSheetId="1" name="solver_rel7" vbProcedure="false">3</definedName>
    <definedName function="false" hidden="false" localSheetId="1" name="solver_rel8" vbProcedure="false">3</definedName>
    <definedName function="false" hidden="false" localSheetId="1" name="solver_rel9" vbProcedure="false">3</definedName>
    <definedName function="false" hidden="false" localSheetId="1" name="solver_rhs1" vbProcedure="false">0</definedName>
    <definedName function="false" hidden="false" localSheetId="1" name="solver_rhs2" vbProcedure="false">0</definedName>
    <definedName function="false" hidden="false" localSheetId="1" name="solver_rhs3" vbProcedure="false">0</definedName>
    <definedName function="false" hidden="false" localSheetId="1" name="solver_rhs4" vbProcedure="false">0</definedName>
    <definedName function="false" hidden="false" localSheetId="1" name="solver_rhs5" vbProcedure="false">0</definedName>
    <definedName function="false" hidden="false" localSheetId="1" name="solver_rhs6" vbProcedure="false">0</definedName>
    <definedName function="false" hidden="false" localSheetId="1" name="solver_rhs7" vbProcedure="false">0</definedName>
    <definedName function="false" hidden="false" localSheetId="1" name="solver_rhs8" vbProcedure="false">0</definedName>
    <definedName function="false" hidden="false" localSheetId="1" name="solver_rhs9" vbProcedure="false">0</definedName>
    <definedName function="false" hidden="false" localSheetId="1" name="solver_typ" vbProcedure="false">2</definedName>
    <definedName function="false" hidden="false" localSheetId="1" name="solver_val" vbProcedure="false">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<sst xmlns="http://schemas.openxmlformats.org/spreadsheetml/2006/main" count="115" uniqueCount="97">
  <si>
    <t xml:space="preserve">There are three steps to using this spreadsheet:</t>
  </si>
  <si>
    <t xml:space="preserve">(1)  Make assumptions about operations in the Operations worksheet.  </t>
  </si>
  <si>
    <t xml:space="preserve">(2)  Make assumptions about financing in the Financing worksheet.</t>
  </si>
  <si>
    <t xml:space="preserve">(3)  Use the Solver in the Financing worksheet to minimize bank notes payable subject</t>
  </si>
  <si>
    <t xml:space="preserve"> to maintaining the minimum cash balance required.  This step is explained in the</t>
  </si>
  <si>
    <t xml:space="preserve"> Financing worksheet.</t>
  </si>
  <si>
    <t xml:space="preserve">The only cells that should be changed are in the Operations Assumptions and Financing</t>
  </si>
  <si>
    <t xml:space="preserve">Assumptions sections.  The spreadsheet will generate income statements, balance </t>
  </si>
  <si>
    <t xml:space="preserve">sheets, and statements of cash flows.</t>
  </si>
  <si>
    <t xml:space="preserve">Kerry Back</t>
  </si>
  <si>
    <t xml:space="preserve">John M. Olin School of Business</t>
  </si>
  <si>
    <t xml:space="preserve">OPERATIONS AND INVESTMENTS ASSUMPTIONS</t>
  </si>
  <si>
    <t xml:space="preserve">Year</t>
  </si>
  <si>
    <t xml:space="preserve">Sales</t>
  </si>
  <si>
    <t xml:space="preserve">COGS (% of sales)</t>
  </si>
  <si>
    <t xml:space="preserve">SG&amp;A (% of sales)</t>
  </si>
  <si>
    <t xml:space="preserve">Income tax rate</t>
  </si>
  <si>
    <t xml:space="preserve">Inventory (% of COGS)</t>
  </si>
  <si>
    <t xml:space="preserve">Minimum cash balance (% of sales)</t>
  </si>
  <si>
    <t xml:space="preserve">Accounts receivable (% of sales)</t>
  </si>
  <si>
    <t xml:space="preserve">Accounts payable (% of COGS)</t>
  </si>
  <si>
    <t xml:space="preserve">Investment in PP&amp;E</t>
  </si>
  <si>
    <t xml:space="preserve">Depreciation</t>
  </si>
  <si>
    <t xml:space="preserve">OPERATIONS AND INVESTMENTS CALCULATIONS</t>
  </si>
  <si>
    <t xml:space="preserve">Average sales</t>
  </si>
  <si>
    <t xml:space="preserve">Average COGS</t>
  </si>
  <si>
    <t xml:space="preserve">Inventory</t>
  </si>
  <si>
    <t xml:space="preserve">Minimum cash balance</t>
  </si>
  <si>
    <t xml:space="preserve">Accounts receivable</t>
  </si>
  <si>
    <t xml:space="preserve">Accounts payable</t>
  </si>
  <si>
    <t xml:space="preserve">Note:  There is a timing issue when comparing a balance sheet to an income statement,</t>
  </si>
  <si>
    <t xml:space="preserve">because the balance sheet is at a point in time whereas the income statement is cumulative</t>
  </si>
  <si>
    <t xml:space="preserve">over the preceding year.  It is most natural to predict assets and liabilities based on the </t>
  </si>
  <si>
    <t xml:space="preserve">average of the income statement items over the same (=preceding) year and the following</t>
  </si>
  <si>
    <t xml:space="preserve">year.</t>
  </si>
  <si>
    <t xml:space="preserve">FINANCING ASSUMPTIONS</t>
  </si>
  <si>
    <t xml:space="preserve">Interest rate on long-term debt</t>
  </si>
  <si>
    <t xml:space="preserve">Interest rate on notes payable</t>
  </si>
  <si>
    <t xml:space="preserve">Long-term debt outstanding</t>
  </si>
  <si>
    <t xml:space="preserve">Bank notes payable</t>
  </si>
  <si>
    <t xml:space="preserve">Net new equity capital raised</t>
  </si>
  <si>
    <t xml:space="preserve">Dividends paid (as positive number)</t>
  </si>
  <si>
    <t xml:space="preserve">FINANCING CALCULATIONS</t>
  </si>
  <si>
    <t xml:space="preserve">Interest Expense</t>
  </si>
  <si>
    <t xml:space="preserve">Long-term debt</t>
  </si>
  <si>
    <t xml:space="preserve">Total</t>
  </si>
  <si>
    <t xml:space="preserve">Cash Balance </t>
  </si>
  <si>
    <t xml:space="preserve">Beginning cash balance</t>
  </si>
  <si>
    <t xml:space="preserve">Plus cash flow from ops, invests, and fin</t>
  </si>
  <si>
    <t xml:space="preserve">Ending cash balance</t>
  </si>
  <si>
    <t xml:space="preserve">Less minimum cash balance required</t>
  </si>
  <si>
    <t xml:space="preserve">Excess cash</t>
  </si>
  <si>
    <t xml:space="preserve">It is undesirable to hold excess cash when there are bank notes outstanding.  </t>
  </si>
  <si>
    <t xml:space="preserve">The cash should be used to reduce the bank loan.  To do this, minimize the </t>
  </si>
  <si>
    <t xml:space="preserve">present value of the interest expense subject to excess cash being </t>
  </si>
  <si>
    <t xml:space="preserve">nonnegative.  Click on Solver (from the Tools menu), click on Solve in the next box </t>
  </si>
  <si>
    <t xml:space="preserve">that appears, and click on OK in the next box.</t>
  </si>
  <si>
    <t xml:space="preserve">Present value of interest on bank notes</t>
  </si>
  <si>
    <t xml:space="preserve">INCOME STATEMENTS</t>
  </si>
  <si>
    <t xml:space="preserve">Less COGS </t>
  </si>
  <si>
    <t xml:space="preserve">Gross profit</t>
  </si>
  <si>
    <t xml:space="preserve">Less SG&amp;A expenses</t>
  </si>
  <si>
    <t xml:space="preserve">Less depreciation</t>
  </si>
  <si>
    <t xml:space="preserve">Earnings before interest and taxes</t>
  </si>
  <si>
    <t xml:space="preserve">Less interest expense</t>
  </si>
  <si>
    <t xml:space="preserve">Pre-tax income</t>
  </si>
  <si>
    <t xml:space="preserve">Cumulative pre-tax income (NOL)</t>
  </si>
  <si>
    <t xml:space="preserve">Taxes</t>
  </si>
  <si>
    <t xml:space="preserve">Less taxes</t>
  </si>
  <si>
    <t xml:space="preserve">Net income</t>
  </si>
  <si>
    <t xml:space="preserve">Note:  Net operating losses can be carried forward or backwards.  There is a limit on the</t>
  </si>
  <si>
    <t xml:space="preserve">number of years they can be carried forward or backwards, but this is not incorporated </t>
  </si>
  <si>
    <t xml:space="preserve">into the spreadsheet.</t>
  </si>
  <si>
    <t xml:space="preserve">BALANCE SHEETS</t>
  </si>
  <si>
    <t xml:space="preserve">Cash</t>
  </si>
  <si>
    <t xml:space="preserve">Total current assets</t>
  </si>
  <si>
    <t xml:space="preserve">Gross property, plant &amp; equipment</t>
  </si>
  <si>
    <t xml:space="preserve">Less accumulated depreciation</t>
  </si>
  <si>
    <t xml:space="preserve">Net property, plant &amp; equipment</t>
  </si>
  <si>
    <t xml:space="preserve">Total assets</t>
  </si>
  <si>
    <t xml:space="preserve">Total current liabilities</t>
  </si>
  <si>
    <t xml:space="preserve">Shareholders equity</t>
  </si>
  <si>
    <t xml:space="preserve">Total long-term debt and shareholders equity</t>
  </si>
  <si>
    <t xml:space="preserve">Total liabilities</t>
  </si>
  <si>
    <t xml:space="preserve">STATEMENTS OF CASH FLOWS</t>
  </si>
  <si>
    <t xml:space="preserve">Plus depreciation</t>
  </si>
  <si>
    <t xml:space="preserve">Less increase in inventory </t>
  </si>
  <si>
    <t xml:space="preserve">Less increase in accounts receivable</t>
  </si>
  <si>
    <t xml:space="preserve">Plus increase in accounts payable</t>
  </si>
  <si>
    <t xml:space="preserve">Cash flow from operations</t>
  </si>
  <si>
    <t xml:space="preserve">Less investment</t>
  </si>
  <si>
    <t xml:space="preserve">Cash flow from operations and invests</t>
  </si>
  <si>
    <t xml:space="preserve">Plus net new equity capital raised</t>
  </si>
  <si>
    <t xml:space="preserve">Less dividends paid</t>
  </si>
  <si>
    <t xml:space="preserve">Plus net new long-term debt</t>
  </si>
  <si>
    <t xml:space="preserve">Plus net new bank borrowings</t>
  </si>
  <si>
    <t xml:space="preserve">Cash flow from ops, invests, and fin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</si>
</sst>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$-409]d\-mmm\-yy"/>
    <numFmt numFmtId="166" formatCode="_(* #,##0.00_);_(* \(#,##0.00\);_(* \-??_);_(@_)"/>
    <numFmt numFmtId="167" formatCode="_(* #,##0_);_(* \(#,##0\);_(* \-??_);_(@_)"/>
    <numFmt numFmtId="168" formatCode="0%"/>
    <numFmt numFmtId="169" formatCode="_(* #,##0.0_);_(* \(#,##0.0\);_(* \-??_);_(@_)"/>
  </numFmts>
  <fonts count="1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b val="true"/>
      <i val="true"/>
      <sz val="10"/>
      <name val="Arial"/>
      <family val="0"/>
    </font>
    <font>
      <b val="true"/>
      <u val="single"/>
      <sz val="10"/>
      <name val="Arial"/>
      <family val="2"/>
    </font>
    <font>
      <b val="true"/>
      <sz val="10"/>
      <color rgb="FF0000FF"/>
      <name val="Arial"/>
      <family val="2"/>
    </font>
    <font>
      <b val="true"/>
      <sz val="10"/>
      <color rgb="FF008000"/>
      <name val="Arial"/>
      <family val="2"/>
    </font>
    <font>
      <b val="true"/>
      <u val="single"/>
      <sz val="10"/>
      <color rgb="FF008000"/>
      <name val="Arial"/>
      <family val="2"/>
    </font>
    <font>
      <b val="true"/>
      <sz val="10"/>
      <color rgb="FF000000"/>
      <name val="Arial"/>
      <family val="2"/>
    </font>
    <font>
      <b val="true"/>
      <u val="single"/>
      <sz val="10"/>
      <color rgb="FF000000"/>
      <name val="Arial"/>
      <family val="2"/>
    </font>
    <font>
      <b val="true"/>
      <sz val="10"/>
      <color rgb="FFFF0000"/>
      <name val="Arial"/>
      <family val="2"/>
    </font>
    <font>
      <b val="true"/>
      <sz val="10"/>
      <color rgb="FF00800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0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7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9.0546875" defaultRowHeight="14.65" customHeight="false" zeroHeight="false" outlineLevelRow="0" outlineLevelCol="0"/>
  <sheetData>
    <row r="1" customFormat="false" ht="14.65" hidden="false" customHeight="false" outlineLevel="0" collapsed="false">
      <c r="A1" s="1" t="s">
        <v>0</v>
      </c>
      <c r="B1" s="1"/>
    </row>
    <row r="2" customFormat="false" ht="14.65" hidden="false" customHeight="false" outlineLevel="0" collapsed="false">
      <c r="A2" s="1"/>
      <c r="B2" s="1"/>
    </row>
    <row r="3" customFormat="false" ht="14.65" hidden="false" customHeight="false" outlineLevel="0" collapsed="false">
      <c r="A3" s="1" t="s">
        <v>1</v>
      </c>
      <c r="B3" s="1"/>
    </row>
    <row r="4" customFormat="false" ht="14.65" hidden="false" customHeight="false" outlineLevel="0" collapsed="false">
      <c r="A4" s="1" t="s">
        <v>2</v>
      </c>
      <c r="B4" s="1"/>
    </row>
    <row r="5" customFormat="false" ht="14.65" hidden="false" customHeight="false" outlineLevel="0" collapsed="false">
      <c r="A5" s="1" t="s">
        <v>3</v>
      </c>
      <c r="B5" s="1"/>
    </row>
    <row r="6" customFormat="false" ht="14.65" hidden="false" customHeight="false" outlineLevel="0" collapsed="false">
      <c r="A6" s="1" t="s">
        <v>4</v>
      </c>
      <c r="B6" s="1"/>
    </row>
    <row r="7" customFormat="false" ht="14.65" hidden="false" customHeight="false" outlineLevel="0" collapsed="false">
      <c r="A7" s="1" t="s">
        <v>5</v>
      </c>
      <c r="B7" s="1"/>
    </row>
    <row r="8" customFormat="false" ht="14.65" hidden="false" customHeight="false" outlineLevel="0" collapsed="false">
      <c r="A8" s="1"/>
      <c r="B8" s="1"/>
    </row>
    <row r="9" customFormat="false" ht="14.65" hidden="false" customHeight="false" outlineLevel="0" collapsed="false">
      <c r="A9" s="1" t="s">
        <v>6</v>
      </c>
      <c r="B9" s="1"/>
    </row>
    <row r="10" customFormat="false" ht="14.65" hidden="false" customHeight="false" outlineLevel="0" collapsed="false">
      <c r="A10" s="1" t="s">
        <v>7</v>
      </c>
      <c r="B10" s="1"/>
    </row>
    <row r="11" customFormat="false" ht="14.65" hidden="false" customHeight="false" outlineLevel="0" collapsed="false">
      <c r="A11" s="1" t="s">
        <v>8</v>
      </c>
      <c r="B11" s="1"/>
    </row>
    <row r="12" customFormat="false" ht="14.65" hidden="false" customHeight="false" outlineLevel="0" collapsed="false">
      <c r="A12" s="1"/>
      <c r="B12" s="1"/>
    </row>
    <row r="13" customFormat="false" ht="14.65" hidden="false" customHeight="false" outlineLevel="0" collapsed="false">
      <c r="A13" s="1"/>
      <c r="B13" s="1"/>
    </row>
    <row r="14" customFormat="false" ht="14.65" hidden="false" customHeight="false" outlineLevel="0" collapsed="false">
      <c r="A14" s="1" t="s">
        <v>9</v>
      </c>
      <c r="B14" s="1"/>
    </row>
    <row r="15" customFormat="false" ht="14.65" hidden="false" customHeight="false" outlineLevel="0" collapsed="false">
      <c r="A15" s="1" t="s">
        <v>10</v>
      </c>
    </row>
    <row r="16" customFormat="false" ht="14.65" hidden="false" customHeight="false" outlineLevel="0" collapsed="false">
      <c r="A16" s="2" t="n">
        <v>35443</v>
      </c>
    </row>
  </sheetData>
  <printOptions headings="false" gridLines="false" gridLinesSet="true" horizontalCentered="true" verticalCentered="true"/>
  <pageMargins left="0.747916666666667" right="0.747916666666667" top="0.984027777777778" bottom="0.984027777777778" header="0.511811023622047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9.0546875" defaultRowHeight="14.65" customHeight="false" zeroHeight="false" outlineLevelRow="0" outlineLevelCol="0"/>
  <cols>
    <col collapsed="false" customWidth="true" hidden="false" outlineLevel="0" max="1" min="1" style="0" width="32.56"/>
  </cols>
  <sheetData>
    <row r="1" customFormat="false" ht="14.65" hidden="false" customHeight="false" outlineLevel="0" collapsed="false">
      <c r="A1" s="1" t="s">
        <v>11</v>
      </c>
    </row>
    <row r="4" customFormat="false" ht="14.65" hidden="false" customHeight="false" outlineLevel="0" collapsed="false">
      <c r="A4" s="3" t="s">
        <v>12</v>
      </c>
      <c r="B4" s="3" t="n">
        <v>0</v>
      </c>
      <c r="C4" s="3" t="n">
        <v>1</v>
      </c>
      <c r="D4" s="3" t="n">
        <v>2</v>
      </c>
      <c r="E4" s="3" t="n">
        <v>3</v>
      </c>
      <c r="F4" s="3" t="n">
        <v>4</v>
      </c>
      <c r="G4" s="1"/>
      <c r="H4" s="1"/>
      <c r="I4" s="1"/>
      <c r="J4" s="1"/>
      <c r="K4" s="1"/>
      <c r="L4" s="1"/>
      <c r="M4" s="1"/>
      <c r="N4" s="1"/>
      <c r="O4" s="1"/>
    </row>
    <row r="5" customFormat="false" ht="14.6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customFormat="false" ht="14.65" hidden="false" customHeight="false" outlineLevel="0" collapsed="false">
      <c r="A6" s="1" t="s">
        <v>13</v>
      </c>
      <c r="B6" s="4"/>
      <c r="C6" s="4" t="n">
        <v>400</v>
      </c>
      <c r="D6" s="4" t="n">
        <v>600</v>
      </c>
      <c r="E6" s="4" t="n">
        <v>800</v>
      </c>
      <c r="F6" s="1" t="n">
        <v>900</v>
      </c>
      <c r="G6" s="1"/>
      <c r="H6" s="1"/>
      <c r="I6" s="1"/>
      <c r="J6" s="1"/>
      <c r="K6" s="1"/>
      <c r="L6" s="1"/>
      <c r="M6" s="1"/>
      <c r="N6" s="1"/>
      <c r="O6" s="1"/>
    </row>
    <row r="7" customFormat="false" ht="14.65" hidden="false" customHeight="false" outlineLevel="0" collapsed="false">
      <c r="A7" s="1" t="s">
        <v>14</v>
      </c>
      <c r="B7" s="5"/>
      <c r="C7" s="5" t="n">
        <v>0.5</v>
      </c>
      <c r="D7" s="5" t="n">
        <v>0.5</v>
      </c>
      <c r="E7" s="5" t="n">
        <v>0.5</v>
      </c>
      <c r="F7" s="5" t="n">
        <v>0.5</v>
      </c>
      <c r="G7" s="1"/>
      <c r="H7" s="1"/>
      <c r="I7" s="1"/>
      <c r="J7" s="1"/>
      <c r="K7" s="1"/>
      <c r="L7" s="1"/>
      <c r="M7" s="1"/>
      <c r="N7" s="1"/>
      <c r="O7" s="1"/>
    </row>
    <row r="8" customFormat="false" ht="14.65" hidden="false" customHeight="false" outlineLevel="0" collapsed="false">
      <c r="A8" s="1" t="s">
        <v>15</v>
      </c>
      <c r="B8" s="5"/>
      <c r="C8" s="5" t="n">
        <v>0.3</v>
      </c>
      <c r="D8" s="5" t="n">
        <v>0.3</v>
      </c>
      <c r="E8" s="5" t="n">
        <v>0.3</v>
      </c>
      <c r="F8" s="1"/>
      <c r="G8" s="1"/>
      <c r="H8" s="1"/>
      <c r="I8" s="1"/>
      <c r="J8" s="1"/>
      <c r="K8" s="1"/>
      <c r="L8" s="1"/>
      <c r="M8" s="1"/>
      <c r="N8" s="1"/>
      <c r="O8" s="1"/>
    </row>
    <row r="9" customFormat="false" ht="14.65" hidden="false" customHeight="false" outlineLevel="0" collapsed="false">
      <c r="A9" s="1" t="s">
        <v>16</v>
      </c>
      <c r="B9" s="5"/>
      <c r="C9" s="5" t="n">
        <v>0.4</v>
      </c>
      <c r="D9" s="5" t="n">
        <v>0.4</v>
      </c>
      <c r="E9" s="5" t="n">
        <v>0.4</v>
      </c>
      <c r="F9" s="1"/>
      <c r="G9" s="1"/>
      <c r="H9" s="1"/>
      <c r="I9" s="1"/>
      <c r="J9" s="1"/>
      <c r="K9" s="1"/>
      <c r="L9" s="1"/>
      <c r="M9" s="1"/>
      <c r="N9" s="1"/>
      <c r="O9" s="1"/>
    </row>
    <row r="10" customFormat="false" ht="14.65" hidden="false" customHeight="false" outlineLevel="0" collapsed="false">
      <c r="A10" s="1"/>
      <c r="B10" s="5"/>
      <c r="C10" s="4"/>
      <c r="D10" s="4"/>
      <c r="E10" s="4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customFormat="false" ht="14.65" hidden="false" customHeight="false" outlineLevel="0" collapsed="false">
      <c r="A11" s="1" t="s">
        <v>17</v>
      </c>
      <c r="B11" s="5" t="n">
        <v>0.1</v>
      </c>
      <c r="C11" s="5" t="n">
        <v>0.1</v>
      </c>
      <c r="D11" s="5" t="n">
        <v>0.1</v>
      </c>
      <c r="E11" s="5" t="n">
        <v>0.1</v>
      </c>
      <c r="F11" s="1"/>
      <c r="G11" s="1"/>
      <c r="H11" s="1"/>
      <c r="I11" s="1"/>
      <c r="J11" s="1"/>
      <c r="K11" s="1"/>
      <c r="L11" s="1"/>
      <c r="M11" s="1"/>
      <c r="N11" s="1"/>
      <c r="O11" s="1"/>
    </row>
    <row r="12" customFormat="false" ht="14.65" hidden="false" customHeight="false" outlineLevel="0" collapsed="false">
      <c r="A12" s="1" t="s">
        <v>18</v>
      </c>
      <c r="B12" s="5" t="n">
        <v>0.04</v>
      </c>
      <c r="C12" s="5" t="n">
        <v>0.04</v>
      </c>
      <c r="D12" s="5" t="n">
        <v>0.04</v>
      </c>
      <c r="E12" s="5" t="n">
        <v>0.04</v>
      </c>
      <c r="F12" s="1"/>
      <c r="G12" s="1"/>
      <c r="H12" s="1"/>
      <c r="I12" s="1"/>
      <c r="J12" s="1"/>
      <c r="K12" s="1"/>
      <c r="L12" s="1"/>
      <c r="M12" s="1"/>
      <c r="N12" s="1"/>
      <c r="O12" s="1"/>
    </row>
    <row r="13" customFormat="false" ht="14.65" hidden="false" customHeight="false" outlineLevel="0" collapsed="false">
      <c r="A13" s="1" t="s">
        <v>19</v>
      </c>
      <c r="B13" s="5" t="n">
        <v>0.12</v>
      </c>
      <c r="C13" s="5" t="n">
        <v>0.12</v>
      </c>
      <c r="D13" s="5" t="n">
        <v>0.12</v>
      </c>
      <c r="E13" s="5" t="n">
        <v>0.12</v>
      </c>
      <c r="F13" s="1"/>
      <c r="G13" s="1"/>
      <c r="H13" s="1"/>
      <c r="I13" s="1"/>
      <c r="J13" s="1"/>
      <c r="K13" s="1"/>
      <c r="L13" s="1"/>
      <c r="M13" s="1"/>
      <c r="N13" s="1"/>
      <c r="O13" s="1"/>
    </row>
    <row r="14" customFormat="false" ht="14.65" hidden="false" customHeight="false" outlineLevel="0" collapsed="false">
      <c r="A14" s="1" t="s">
        <v>20</v>
      </c>
      <c r="B14" s="5" t="n">
        <v>0.08</v>
      </c>
      <c r="C14" s="5" t="n">
        <v>0.08</v>
      </c>
      <c r="D14" s="5" t="n">
        <v>0.08</v>
      </c>
      <c r="E14" s="5" t="n">
        <v>0.08</v>
      </c>
      <c r="F14" s="1"/>
      <c r="G14" s="1"/>
      <c r="H14" s="1"/>
      <c r="I14" s="1"/>
      <c r="J14" s="1"/>
      <c r="K14" s="1"/>
      <c r="L14" s="1"/>
      <c r="M14" s="1"/>
      <c r="N14" s="1"/>
      <c r="O14" s="1"/>
    </row>
    <row r="15" customFormat="false" ht="14.6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customFormat="false" ht="14.65" hidden="false" customHeight="false" outlineLevel="0" collapsed="false">
      <c r="A16" s="1" t="s">
        <v>21</v>
      </c>
      <c r="B16" s="4" t="n">
        <v>400</v>
      </c>
      <c r="C16" s="1" t="n">
        <v>100</v>
      </c>
      <c r="D16" s="4" t="n">
        <v>100</v>
      </c>
      <c r="E16" s="4" t="n">
        <v>100</v>
      </c>
      <c r="F16" s="1"/>
      <c r="G16" s="1"/>
      <c r="H16" s="1"/>
      <c r="I16" s="1"/>
      <c r="J16" s="1"/>
      <c r="K16" s="1"/>
      <c r="L16" s="1"/>
      <c r="M16" s="1"/>
      <c r="N16" s="1"/>
      <c r="O16" s="1"/>
    </row>
    <row r="17" customFormat="false" ht="14.65" hidden="false" customHeight="false" outlineLevel="0" collapsed="false">
      <c r="A17" s="1" t="s">
        <v>22</v>
      </c>
      <c r="B17" s="4" t="n">
        <v>0</v>
      </c>
      <c r="C17" s="4" t="n">
        <v>100</v>
      </c>
      <c r="D17" s="4" t="n">
        <v>100</v>
      </c>
      <c r="E17" s="4" t="n">
        <v>100</v>
      </c>
      <c r="F17" s="1"/>
      <c r="G17" s="1"/>
      <c r="H17" s="1"/>
      <c r="I17" s="1"/>
      <c r="J17" s="1"/>
      <c r="K17" s="1"/>
      <c r="L17" s="1"/>
      <c r="M17" s="1"/>
      <c r="N17" s="1"/>
      <c r="O17" s="1"/>
    </row>
    <row r="18" customFormat="false" ht="14.6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customFormat="false" ht="14.65" hidden="false" customHeight="false" outlineLevel="0" collapsed="false">
      <c r="F19" s="4"/>
      <c r="G19" s="1"/>
      <c r="H19" s="1"/>
      <c r="I19" s="1"/>
      <c r="J19" s="1"/>
      <c r="K19" s="1"/>
      <c r="L19" s="1"/>
      <c r="M19" s="1"/>
      <c r="N19" s="1"/>
      <c r="O19" s="1"/>
    </row>
    <row r="20" customFormat="false" ht="14.65" hidden="false" customHeight="false" outlineLevel="0" collapsed="false">
      <c r="A20" s="1" t="s">
        <v>23</v>
      </c>
      <c r="F20" s="4"/>
      <c r="G20" s="1"/>
      <c r="H20" s="1"/>
      <c r="I20" s="1"/>
      <c r="J20" s="1"/>
      <c r="K20" s="1"/>
      <c r="L20" s="1"/>
      <c r="M20" s="1"/>
      <c r="N20" s="1"/>
      <c r="O20" s="1"/>
    </row>
    <row r="21" customFormat="false" ht="14.65" hidden="false" customHeight="false" outlineLevel="0" collapsed="false">
      <c r="F21" s="4"/>
      <c r="G21" s="1"/>
      <c r="H21" s="1"/>
      <c r="I21" s="1"/>
      <c r="J21" s="1"/>
      <c r="K21" s="1"/>
      <c r="L21" s="1"/>
      <c r="M21" s="1"/>
      <c r="N21" s="1"/>
      <c r="O21" s="1"/>
    </row>
    <row r="22" customFormat="false" ht="14.65" hidden="false" customHeight="false" outlineLevel="0" collapsed="false">
      <c r="A22" s="3" t="s">
        <v>12</v>
      </c>
      <c r="B22" s="3" t="n">
        <v>0</v>
      </c>
      <c r="C22" s="3" t="n">
        <v>1</v>
      </c>
      <c r="D22" s="3" t="n">
        <v>2</v>
      </c>
      <c r="E22" s="3" t="n">
        <v>3</v>
      </c>
      <c r="F22" s="4"/>
      <c r="G22" s="1"/>
      <c r="H22" s="1"/>
      <c r="I22" s="1"/>
      <c r="J22" s="1"/>
      <c r="K22" s="1"/>
      <c r="L22" s="1"/>
      <c r="M22" s="1"/>
      <c r="N22" s="1"/>
      <c r="O22" s="1"/>
    </row>
    <row r="23" customFormat="false" ht="14.65" hidden="false" customHeight="false" outlineLevel="0" collapsed="false">
      <c r="F23" s="4"/>
      <c r="G23" s="1"/>
      <c r="H23" s="1"/>
      <c r="I23" s="1"/>
      <c r="J23" s="1"/>
      <c r="K23" s="1"/>
      <c r="L23" s="1"/>
      <c r="M23" s="1"/>
      <c r="N23" s="1"/>
      <c r="O23" s="1"/>
    </row>
    <row r="24" customFormat="false" ht="14.65" hidden="false" customHeight="false" outlineLevel="0" collapsed="false">
      <c r="A24" s="1" t="s">
        <v>24</v>
      </c>
      <c r="B24" s="1" t="n">
        <f aca="false">0.5*B6+0.5*C6</f>
        <v>200</v>
      </c>
      <c r="C24" s="1" t="n">
        <f aca="false">0.5*C6+0.5*D6</f>
        <v>500</v>
      </c>
      <c r="D24" s="1" t="n">
        <f aca="false">0.5*D6+0.5*E6</f>
        <v>700</v>
      </c>
      <c r="E24" s="1" t="n">
        <f aca="false">0.5*E6+0.5*F6</f>
        <v>850</v>
      </c>
      <c r="F24" s="4"/>
      <c r="G24" s="1"/>
      <c r="H24" s="1"/>
      <c r="I24" s="1"/>
      <c r="J24" s="1"/>
      <c r="K24" s="1"/>
      <c r="L24" s="1"/>
      <c r="M24" s="1"/>
      <c r="N24" s="1"/>
      <c r="O24" s="1"/>
    </row>
    <row r="25" customFormat="false" ht="14.65" hidden="false" customHeight="false" outlineLevel="0" collapsed="false">
      <c r="A25" s="1" t="s">
        <v>25</v>
      </c>
      <c r="B25" s="1" t="n">
        <f aca="false">0.5*B6*B7+0.5*C6*C7</f>
        <v>100</v>
      </c>
      <c r="C25" s="1" t="n">
        <f aca="false">0.5*C6*C7+0.5*D6*D7</f>
        <v>250</v>
      </c>
      <c r="D25" s="1" t="n">
        <f aca="false">0.5*D6*D7+0.5*E6*E7</f>
        <v>350</v>
      </c>
      <c r="E25" s="1" t="n">
        <f aca="false">0.5*E6*E7+0.5*F6*F7</f>
        <v>425</v>
      </c>
      <c r="F25" s="4"/>
      <c r="G25" s="1"/>
      <c r="H25" s="1"/>
      <c r="I25" s="1"/>
      <c r="J25" s="1"/>
      <c r="K25" s="1"/>
      <c r="L25" s="1"/>
      <c r="M25" s="1"/>
      <c r="N25" s="1"/>
      <c r="O25" s="1"/>
    </row>
    <row r="26" customFormat="false" ht="14.65" hidden="false" customHeight="false" outlineLevel="0" collapsed="false">
      <c r="A26" s="1" t="s">
        <v>26</v>
      </c>
      <c r="B26" s="1" t="n">
        <f aca="false">B11*B25</f>
        <v>10</v>
      </c>
      <c r="C26" s="1" t="n">
        <f aca="false">C11*C25</f>
        <v>25</v>
      </c>
      <c r="D26" s="1" t="n">
        <f aca="false">D11*D25</f>
        <v>35</v>
      </c>
      <c r="E26" s="1" t="n">
        <f aca="false">E11*E25</f>
        <v>42.5</v>
      </c>
      <c r="F26" s="4"/>
      <c r="G26" s="1"/>
      <c r="H26" s="1"/>
      <c r="I26" s="1"/>
      <c r="J26" s="1"/>
      <c r="K26" s="1"/>
      <c r="L26" s="1"/>
      <c r="M26" s="1"/>
      <c r="N26" s="1"/>
      <c r="O26" s="1"/>
    </row>
    <row r="27" customFormat="false" ht="14.65" hidden="false" customHeight="false" outlineLevel="0" collapsed="false">
      <c r="A27" s="1" t="s">
        <v>27</v>
      </c>
      <c r="B27" s="1" t="n">
        <f aca="false">B12*B24</f>
        <v>8</v>
      </c>
      <c r="C27" s="1" t="n">
        <f aca="false">C12*C24</f>
        <v>20</v>
      </c>
      <c r="D27" s="1" t="n">
        <f aca="false">D12*D24</f>
        <v>28</v>
      </c>
      <c r="E27" s="1" t="n">
        <f aca="false">E12*E24</f>
        <v>34</v>
      </c>
      <c r="F27" s="1"/>
      <c r="G27" s="1"/>
      <c r="H27" s="1"/>
      <c r="I27" s="1"/>
      <c r="J27" s="1"/>
      <c r="K27" s="1"/>
      <c r="L27" s="1"/>
      <c r="M27" s="1"/>
      <c r="N27" s="1"/>
      <c r="O27" s="1"/>
    </row>
    <row r="28" customFormat="false" ht="14.65" hidden="false" customHeight="false" outlineLevel="0" collapsed="false">
      <c r="A28" s="1" t="s">
        <v>28</v>
      </c>
      <c r="B28" s="1" t="n">
        <v>0</v>
      </c>
      <c r="C28" s="1" t="n">
        <f aca="false">C13*C24</f>
        <v>60</v>
      </c>
      <c r="D28" s="1" t="n">
        <f aca="false">D13*D24</f>
        <v>84</v>
      </c>
      <c r="E28" s="1" t="n">
        <f aca="false">E13*E24</f>
        <v>102</v>
      </c>
      <c r="F28" s="1"/>
      <c r="G28" s="1"/>
      <c r="H28" s="1"/>
      <c r="I28" s="1"/>
      <c r="J28" s="1"/>
      <c r="K28" s="1"/>
      <c r="L28" s="1"/>
      <c r="M28" s="1"/>
      <c r="N28" s="1"/>
      <c r="O28" s="1"/>
    </row>
    <row r="29" customFormat="false" ht="14.65" hidden="false" customHeight="false" outlineLevel="0" collapsed="false">
      <c r="A29" s="1" t="s">
        <v>29</v>
      </c>
      <c r="B29" s="1" t="n">
        <f aca="false">B14*B25</f>
        <v>8</v>
      </c>
      <c r="C29" s="1" t="n">
        <f aca="false">C14*C25</f>
        <v>20</v>
      </c>
      <c r="D29" s="1" t="n">
        <f aca="false">D14*D25</f>
        <v>28</v>
      </c>
      <c r="E29" s="1" t="n">
        <f aca="false">E14*E25</f>
        <v>34</v>
      </c>
      <c r="F29" s="1"/>
      <c r="G29" s="1"/>
      <c r="H29" s="1"/>
      <c r="I29" s="1"/>
      <c r="J29" s="1"/>
      <c r="K29" s="1"/>
      <c r="L29" s="1"/>
      <c r="M29" s="1"/>
      <c r="N29" s="1"/>
      <c r="O29" s="1"/>
    </row>
    <row r="30" customFormat="false" ht="14.65" hidden="false" customHeight="false" outlineLevel="0" collapsed="false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customFormat="false" ht="14.65" hidden="false" customHeight="false" outlineLevel="0" collapsed="false">
      <c r="A31" s="1" t="s">
        <v>30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customFormat="false" ht="14.65" hidden="false" customHeight="false" outlineLevel="0" collapsed="false">
      <c r="A32" s="1" t="s">
        <v>31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customFormat="false" ht="14.65" hidden="false" customHeight="false" outlineLevel="0" collapsed="false">
      <c r="A33" s="1" t="s">
        <v>32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customFormat="false" ht="14.65" hidden="false" customHeight="false" outlineLevel="0" collapsed="false">
      <c r="A34" s="1" t="s">
        <v>33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customFormat="false" ht="14.65" hidden="false" customHeight="false" outlineLevel="0" collapsed="false">
      <c r="A35" s="1" t="s">
        <v>34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customFormat="false" ht="14.6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customFormat="false" ht="14.6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customFormat="false" ht="14.6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customFormat="false" ht="14.6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customFormat="false" ht="14.6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customFormat="false" ht="14.6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customFormat="false" ht="14.6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customFormat="false" ht="14.6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customFormat="false" ht="14.6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customFormat="false" ht="14.6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customFormat="false" ht="14.6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customFormat="false" ht="14.6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customFormat="false" ht="14.6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customFormat="false" ht="14.6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customFormat="false" ht="14.6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customFormat="false" ht="14.6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customFormat="false" ht="14.6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customFormat="false" ht="14.6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customFormat="false" ht="14.6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customFormat="false" ht="14.6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customFormat="false" ht="14.6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customFormat="false" ht="14.6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customFormat="false" ht="14.6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customFormat="false" ht="14.6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customFormat="false" ht="14.6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customFormat="false" ht="14.6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customFormat="false" ht="14.6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customFormat="false" ht="14.6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customFormat="false" ht="14.6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customFormat="false" ht="14.6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customFormat="false" ht="14.6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customFormat="false" ht="14.6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customFormat="false" ht="14.6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customFormat="false" ht="14.6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customFormat="false" ht="14.6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customFormat="false" ht="14.6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customFormat="false" ht="14.6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customFormat="false" ht="14.6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customFormat="false" ht="14.6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customFormat="false" ht="14.6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</sheetData>
  <printOptions headings="true" gridLines="false" gridLinesSet="true" horizontalCentered="true" verticalCentered="true"/>
  <pageMargins left="0.747916666666667" right="0.747916666666667" top="0.984027777777778" bottom="0.984027777777778" header="0.511811023622047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9.0546875" defaultRowHeight="14.65" customHeight="false" zeroHeight="false" outlineLevelRow="0" outlineLevelCol="0"/>
  <cols>
    <col collapsed="false" customWidth="true" hidden="false" outlineLevel="0" max="1" min="1" style="0" width="37.14"/>
  </cols>
  <sheetData>
    <row r="1" customFormat="false" ht="14.65" hidden="false" customHeight="false" outlineLevel="0" collapsed="false">
      <c r="A1" s="1" t="s">
        <v>35</v>
      </c>
    </row>
    <row r="4" customFormat="false" ht="14.65" hidden="false" customHeight="false" outlineLevel="0" collapsed="false">
      <c r="A4" s="1" t="s">
        <v>36</v>
      </c>
      <c r="B4" s="5" t="n">
        <v>0.11</v>
      </c>
      <c r="D4" s="5"/>
      <c r="E4" s="5"/>
    </row>
    <row r="5" customFormat="false" ht="14.65" hidden="false" customHeight="false" outlineLevel="0" collapsed="false">
      <c r="A5" s="1" t="s">
        <v>37</v>
      </c>
      <c r="B5" s="5" t="n">
        <v>0.09</v>
      </c>
      <c r="C5" s="4"/>
      <c r="D5" s="4"/>
      <c r="E5" s="4"/>
    </row>
    <row r="7" customFormat="false" ht="14.65" hidden="false" customHeight="false" outlineLevel="0" collapsed="false">
      <c r="A7" s="3" t="s">
        <v>12</v>
      </c>
      <c r="B7" s="3" t="n">
        <v>0</v>
      </c>
      <c r="C7" s="3" t="n">
        <v>1</v>
      </c>
      <c r="D7" s="3" t="n">
        <v>2</v>
      </c>
      <c r="E7" s="3" t="n">
        <v>3</v>
      </c>
    </row>
    <row r="9" customFormat="false" ht="14.65" hidden="false" customHeight="false" outlineLevel="0" collapsed="false">
      <c r="A9" s="1" t="s">
        <v>38</v>
      </c>
      <c r="B9" s="4" t="n">
        <v>200</v>
      </c>
      <c r="C9" s="4" t="n">
        <v>200</v>
      </c>
      <c r="D9" s="4" t="n">
        <v>200</v>
      </c>
      <c r="E9" s="4" t="n">
        <v>200</v>
      </c>
    </row>
    <row r="10" customFormat="false" ht="14.65" hidden="false" customHeight="false" outlineLevel="0" collapsed="false">
      <c r="A10" s="1" t="s">
        <v>39</v>
      </c>
      <c r="B10" s="4" t="n">
        <v>0</v>
      </c>
      <c r="C10" s="4" t="n">
        <v>28.2722513089005</v>
      </c>
      <c r="D10" s="4" t="n">
        <v>68.6329870343466</v>
      </c>
      <c r="E10" s="4" t="n">
        <v>62.0120119904631</v>
      </c>
    </row>
    <row r="11" customFormat="false" ht="14.65" hidden="false" customHeight="false" outlineLevel="0" collapsed="false">
      <c r="A11" s="1"/>
      <c r="B11" s="4"/>
      <c r="C11" s="4"/>
      <c r="D11" s="4"/>
      <c r="E11" s="4"/>
    </row>
    <row r="12" customFormat="false" ht="14.65" hidden="false" customHeight="false" outlineLevel="0" collapsed="false">
      <c r="A12" s="1" t="s">
        <v>40</v>
      </c>
      <c r="B12" s="4" t="n">
        <v>300</v>
      </c>
      <c r="C12" s="4" t="n">
        <v>0</v>
      </c>
      <c r="D12" s="4" t="n">
        <v>0</v>
      </c>
      <c r="E12" s="4" t="n">
        <v>0</v>
      </c>
    </row>
    <row r="13" customFormat="false" ht="14.65" hidden="false" customHeight="false" outlineLevel="0" collapsed="false">
      <c r="A13" s="1" t="s">
        <v>41</v>
      </c>
      <c r="B13" s="4"/>
      <c r="C13" s="4" t="n">
        <v>0</v>
      </c>
      <c r="D13" s="4" t="n">
        <v>0</v>
      </c>
      <c r="E13" s="4" t="n">
        <v>0</v>
      </c>
    </row>
    <row r="14" customFormat="false" ht="14.65" hidden="false" customHeight="false" outlineLevel="0" collapsed="false">
      <c r="A14" s="1"/>
      <c r="B14" s="4"/>
      <c r="C14" s="4"/>
      <c r="D14" s="4"/>
      <c r="E14" s="4"/>
    </row>
    <row r="16" customFormat="false" ht="14.65" hidden="false" customHeight="false" outlineLevel="0" collapsed="false">
      <c r="A16" s="1" t="s">
        <v>42</v>
      </c>
    </row>
    <row r="18" customFormat="false" ht="14.65" hidden="false" customHeight="false" outlineLevel="0" collapsed="false">
      <c r="A18" s="6" t="s">
        <v>43</v>
      </c>
    </row>
    <row r="20" customFormat="false" ht="14.65" hidden="false" customHeight="false" outlineLevel="0" collapsed="false">
      <c r="A20" s="3" t="s">
        <v>12</v>
      </c>
      <c r="B20" s="3" t="n">
        <v>0</v>
      </c>
      <c r="C20" s="3" t="n">
        <v>1</v>
      </c>
      <c r="D20" s="3" t="n">
        <v>2</v>
      </c>
      <c r="E20" s="3" t="n">
        <v>3</v>
      </c>
    </row>
    <row r="22" customFormat="false" ht="14.65" hidden="false" customHeight="false" outlineLevel="0" collapsed="false">
      <c r="A22" s="1" t="s">
        <v>44</v>
      </c>
      <c r="B22" s="7"/>
      <c r="C22" s="7" t="n">
        <f aca="false">$B$4*(B9+C9)/2</f>
        <v>22</v>
      </c>
      <c r="D22" s="7" t="n">
        <f aca="false">$B$4*(C9+D9)/2</f>
        <v>22</v>
      </c>
      <c r="E22" s="7" t="n">
        <f aca="false">$B$4*(D9+E9)/2</f>
        <v>22</v>
      </c>
    </row>
    <row r="23" customFormat="false" ht="14.65" hidden="false" customHeight="false" outlineLevel="0" collapsed="false">
      <c r="A23" s="1" t="s">
        <v>39</v>
      </c>
      <c r="B23" s="7"/>
      <c r="C23" s="8" t="n">
        <f aca="false">$B$5*(B10+C10)/2</f>
        <v>1.27225130890052</v>
      </c>
      <c r="D23" s="8" t="n">
        <f aca="false">$B$5*(C10+D10)/2</f>
        <v>4.36073572544612</v>
      </c>
      <c r="E23" s="8" t="n">
        <f aca="false">$B$5*(D10+E10)/2</f>
        <v>5.87902495611644</v>
      </c>
    </row>
    <row r="24" customFormat="false" ht="14.65" hidden="false" customHeight="false" outlineLevel="0" collapsed="false">
      <c r="A24" s="1" t="s">
        <v>45</v>
      </c>
      <c r="B24" s="9"/>
      <c r="C24" s="9" t="n">
        <f aca="false">C22+C23</f>
        <v>23.2722513089005</v>
      </c>
      <c r="D24" s="9" t="n">
        <f aca="false">D22+D23</f>
        <v>26.3607357254461</v>
      </c>
      <c r="E24" s="9" t="n">
        <f aca="false">E22+E23</f>
        <v>27.8790249561164</v>
      </c>
    </row>
    <row r="26" customFormat="false" ht="14.65" hidden="false" customHeight="false" outlineLevel="0" collapsed="false">
      <c r="A26" s="6" t="s">
        <v>46</v>
      </c>
    </row>
    <row r="28" customFormat="false" ht="14.65" hidden="false" customHeight="false" outlineLevel="0" collapsed="false">
      <c r="A28" s="3" t="s">
        <v>12</v>
      </c>
      <c r="B28" s="3" t="n">
        <v>0</v>
      </c>
      <c r="C28" s="3" t="n">
        <v>1</v>
      </c>
      <c r="D28" s="3" t="n">
        <v>2</v>
      </c>
      <c r="E28" s="3" t="n">
        <v>3</v>
      </c>
    </row>
    <row r="30" customFormat="false" ht="14.65" hidden="false" customHeight="false" outlineLevel="0" collapsed="false">
      <c r="A30" s="10" t="s">
        <v>47</v>
      </c>
      <c r="B30" s="11" t="n">
        <v>0</v>
      </c>
      <c r="C30" s="11" t="n">
        <f aca="false">B32</f>
        <v>98</v>
      </c>
      <c r="D30" s="11" t="n">
        <f aca="false">C32</f>
        <v>20</v>
      </c>
      <c r="E30" s="11" t="n">
        <f aca="false">D32</f>
        <v>28</v>
      </c>
    </row>
    <row r="31" customFormat="false" ht="14.65" hidden="false" customHeight="false" outlineLevel="0" collapsed="false">
      <c r="A31" s="12" t="s">
        <v>48</v>
      </c>
      <c r="B31" s="13" t="n">
        <f aca="false">'Cash flows'!B18</f>
        <v>98</v>
      </c>
      <c r="C31" s="13" t="n">
        <f aca="false">'Cash flows'!C18</f>
        <v>-78</v>
      </c>
      <c r="D31" s="13" t="n">
        <f aca="false">'Cash flows'!D18</f>
        <v>8</v>
      </c>
      <c r="E31" s="13" t="n">
        <f aca="false">'Cash flows'!E18</f>
        <v>6.00000000000002</v>
      </c>
    </row>
    <row r="32" customFormat="false" ht="14.65" hidden="false" customHeight="false" outlineLevel="0" collapsed="false">
      <c r="A32" s="10" t="s">
        <v>49</v>
      </c>
      <c r="B32" s="11" t="n">
        <f aca="false">B30+B31</f>
        <v>98</v>
      </c>
      <c r="C32" s="11" t="n">
        <f aca="false">C30+C31</f>
        <v>20</v>
      </c>
      <c r="D32" s="11" t="n">
        <f aca="false">D30+D31</f>
        <v>28</v>
      </c>
      <c r="E32" s="11" t="n">
        <f aca="false">E30+E31</f>
        <v>34</v>
      </c>
    </row>
    <row r="33" customFormat="false" ht="14.65" hidden="false" customHeight="false" outlineLevel="0" collapsed="false">
      <c r="A33" s="1" t="s">
        <v>50</v>
      </c>
      <c r="B33" s="14" t="n">
        <f aca="false">-Operations!B27</f>
        <v>-8</v>
      </c>
      <c r="C33" s="14" t="n">
        <f aca="false">-Operations!C27</f>
        <v>-20</v>
      </c>
      <c r="D33" s="14" t="n">
        <f aca="false">-Operations!D27</f>
        <v>-28</v>
      </c>
      <c r="E33" s="14" t="n">
        <f aca="false">-Operations!E27</f>
        <v>-34</v>
      </c>
    </row>
    <row r="34" customFormat="false" ht="14.65" hidden="false" customHeight="false" outlineLevel="0" collapsed="false">
      <c r="A34" s="10" t="s">
        <v>51</v>
      </c>
      <c r="B34" s="15" t="n">
        <f aca="false">B32+B33</f>
        <v>90</v>
      </c>
      <c r="C34" s="15" t="n">
        <f aca="false">C32+C33</f>
        <v>0</v>
      </c>
      <c r="D34" s="15" t="n">
        <f aca="false">D32+D33</f>
        <v>0</v>
      </c>
      <c r="E34" s="15" t="n">
        <f aca="false">E32+E33</f>
        <v>0</v>
      </c>
    </row>
    <row r="36" customFormat="false" ht="14.65" hidden="false" customHeight="false" outlineLevel="0" collapsed="false">
      <c r="A36" s="1" t="s">
        <v>52</v>
      </c>
      <c r="B36" s="1"/>
      <c r="C36" s="1"/>
      <c r="D36" s="1"/>
      <c r="E36" s="1"/>
      <c r="F36" s="1"/>
      <c r="G36" s="1"/>
    </row>
    <row r="37" customFormat="false" ht="14.65" hidden="false" customHeight="false" outlineLevel="0" collapsed="false">
      <c r="A37" s="1" t="s">
        <v>53</v>
      </c>
      <c r="B37" s="1"/>
      <c r="C37" s="1"/>
      <c r="D37" s="1"/>
      <c r="E37" s="1"/>
      <c r="F37" s="1"/>
      <c r="G37" s="1"/>
    </row>
    <row r="38" customFormat="false" ht="14.65" hidden="false" customHeight="false" outlineLevel="0" collapsed="false">
      <c r="A38" s="1" t="s">
        <v>54</v>
      </c>
      <c r="B38" s="1"/>
      <c r="C38" s="1"/>
      <c r="D38" s="1"/>
      <c r="E38" s="1"/>
      <c r="F38" s="1"/>
      <c r="G38" s="1"/>
    </row>
    <row r="39" customFormat="false" ht="14.65" hidden="false" customHeight="false" outlineLevel="0" collapsed="false">
      <c r="A39" s="1" t="s">
        <v>55</v>
      </c>
      <c r="B39" s="1"/>
      <c r="C39" s="1"/>
      <c r="D39" s="1"/>
      <c r="E39" s="1"/>
      <c r="F39" s="1"/>
      <c r="G39" s="1"/>
    </row>
    <row r="40" customFormat="false" ht="14.65" hidden="false" customHeight="false" outlineLevel="0" collapsed="false">
      <c r="A40" s="1" t="s">
        <v>56</v>
      </c>
      <c r="B40" s="1"/>
      <c r="C40" s="1"/>
      <c r="D40" s="1"/>
      <c r="E40" s="1"/>
      <c r="F40" s="1"/>
      <c r="G40" s="1"/>
    </row>
    <row r="41" customFormat="false" ht="14.65" hidden="false" customHeight="false" outlineLevel="0" collapsed="false">
      <c r="A41" s="1"/>
      <c r="B41" s="1"/>
      <c r="C41" s="1"/>
      <c r="D41" s="1"/>
      <c r="E41" s="1"/>
      <c r="F41" s="1"/>
      <c r="G41" s="1"/>
    </row>
    <row r="42" customFormat="false" ht="14.65" hidden="false" customHeight="false" outlineLevel="0" collapsed="false">
      <c r="A42" s="1" t="s">
        <v>57</v>
      </c>
      <c r="B42" s="16" t="n">
        <f aca="false">NPV(B5,C23:E23)</f>
        <v>9.37723300169913</v>
      </c>
      <c r="C42" s="1"/>
      <c r="D42" s="1"/>
      <c r="E42" s="1"/>
      <c r="F42" s="1"/>
      <c r="G42" s="1"/>
    </row>
    <row r="43" customFormat="false" ht="14.65" hidden="false" customHeight="false" outlineLevel="0" collapsed="false">
      <c r="A43" s="1"/>
      <c r="B43" s="1"/>
      <c r="C43" s="1"/>
      <c r="D43" s="1"/>
      <c r="E43" s="1"/>
      <c r="F43" s="1"/>
      <c r="G43" s="1"/>
    </row>
    <row r="44" customFormat="false" ht="14.65" hidden="false" customHeight="false" outlineLevel="0" collapsed="false">
      <c r="A44" s="1"/>
      <c r="B44" s="1"/>
      <c r="C44" s="1"/>
      <c r="D44" s="1"/>
      <c r="E44" s="1"/>
      <c r="F44" s="1"/>
      <c r="G44" s="1"/>
    </row>
  </sheetData>
  <printOptions headings="true" gridLines="false" gridLinesSet="true" horizontalCentered="true" verticalCentered="true"/>
  <pageMargins left="0.747916666666667" right="0.747916666666667" top="0.984027777777778" bottom="0.984027777777778" header="0.511811023622047" footer="0.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9.0546875" defaultRowHeight="14.65" customHeight="false" zeroHeight="false" outlineLevelRow="0" outlineLevelCol="0"/>
  <cols>
    <col collapsed="false" customWidth="true" hidden="false" outlineLevel="0" max="1" min="1" style="0" width="36.28"/>
  </cols>
  <sheetData>
    <row r="1" customFormat="false" ht="14.65" hidden="false" customHeight="false" outlineLevel="0" collapsed="false">
      <c r="A1" s="1" t="s">
        <v>58</v>
      </c>
    </row>
    <row r="3" customFormat="false" ht="14.65" hidden="false" customHeight="false" outlineLevel="0" collapsed="false">
      <c r="A3" s="3" t="s">
        <v>12</v>
      </c>
      <c r="B3" s="3" t="n">
        <v>0</v>
      </c>
      <c r="C3" s="3" t="n">
        <v>1</v>
      </c>
      <c r="D3" s="3" t="n">
        <v>2</v>
      </c>
      <c r="E3" s="3" t="n">
        <v>3</v>
      </c>
    </row>
    <row r="4" customFormat="false" ht="14.65" hidden="false" customHeight="false" outlineLevel="0" collapsed="false">
      <c r="A4" s="1"/>
      <c r="B4" s="1"/>
      <c r="C4" s="1"/>
      <c r="D4" s="1"/>
      <c r="E4" s="1"/>
    </row>
    <row r="5" customFormat="false" ht="14.65" hidden="false" customHeight="false" outlineLevel="0" collapsed="false">
      <c r="A5" s="1" t="s">
        <v>13</v>
      </c>
      <c r="B5" s="4"/>
      <c r="C5" s="4" t="n">
        <f aca="false">Operations!C6</f>
        <v>400</v>
      </c>
      <c r="D5" s="4" t="n">
        <f aca="false">Operations!D6</f>
        <v>600</v>
      </c>
      <c r="E5" s="4" t="n">
        <f aca="false">Operations!E6</f>
        <v>800</v>
      </c>
      <c r="F5" s="4"/>
      <c r="G5" s="1"/>
      <c r="H5" s="1"/>
      <c r="I5" s="1"/>
    </row>
    <row r="6" customFormat="false" ht="14.65" hidden="false" customHeight="false" outlineLevel="0" collapsed="false">
      <c r="A6" s="1" t="s">
        <v>59</v>
      </c>
      <c r="B6" s="4"/>
      <c r="C6" s="14" t="n">
        <f aca="false">-Operations!C7*Operations!C6</f>
        <v>-200</v>
      </c>
      <c r="D6" s="14" t="n">
        <f aca="false">-Operations!D7*Operations!D6</f>
        <v>-300</v>
      </c>
      <c r="E6" s="14" t="n">
        <f aca="false">-Operations!E7*Operations!E6</f>
        <v>-400</v>
      </c>
      <c r="F6" s="4"/>
      <c r="G6" s="1"/>
      <c r="H6" s="1"/>
      <c r="I6" s="1"/>
    </row>
    <row r="7" customFormat="false" ht="14.65" hidden="false" customHeight="false" outlineLevel="0" collapsed="false">
      <c r="A7" s="1" t="s">
        <v>60</v>
      </c>
      <c r="B7" s="4"/>
      <c r="C7" s="4" t="n">
        <f aca="false">C5+C6</f>
        <v>200</v>
      </c>
      <c r="D7" s="4" t="n">
        <f aca="false">D5+D6</f>
        <v>300</v>
      </c>
      <c r="E7" s="4" t="n">
        <f aca="false">E5+E6</f>
        <v>400</v>
      </c>
      <c r="F7" s="4"/>
      <c r="G7" s="1"/>
      <c r="H7" s="1"/>
      <c r="I7" s="1"/>
    </row>
    <row r="8" customFormat="false" ht="14.65" hidden="false" customHeight="false" outlineLevel="0" collapsed="false">
      <c r="A8" s="1" t="s">
        <v>61</v>
      </c>
      <c r="B8" s="4"/>
      <c r="C8" s="4" t="n">
        <f aca="false">-Operations!C8*Operations!C6</f>
        <v>-120</v>
      </c>
      <c r="D8" s="4" t="n">
        <f aca="false">-Operations!D8*Operations!D6</f>
        <v>-180</v>
      </c>
      <c r="E8" s="4" t="n">
        <f aca="false">-Operations!E8*Operations!E6</f>
        <v>-240</v>
      </c>
      <c r="F8" s="4"/>
      <c r="G8" s="1"/>
      <c r="H8" s="1"/>
      <c r="I8" s="1"/>
    </row>
    <row r="9" customFormat="false" ht="14.65" hidden="false" customHeight="false" outlineLevel="0" collapsed="false">
      <c r="A9" s="1" t="s">
        <v>62</v>
      </c>
      <c r="B9" s="14"/>
      <c r="C9" s="14" t="n">
        <f aca="false">-Operations!C17</f>
        <v>-100</v>
      </c>
      <c r="D9" s="14" t="n">
        <f aca="false">-Operations!D17</f>
        <v>-100</v>
      </c>
      <c r="E9" s="14" t="n">
        <f aca="false">-Operations!E17</f>
        <v>-100</v>
      </c>
      <c r="F9" s="4"/>
      <c r="G9" s="1"/>
      <c r="H9" s="1"/>
      <c r="I9" s="1"/>
    </row>
    <row r="10" customFormat="false" ht="14.65" hidden="false" customHeight="false" outlineLevel="0" collapsed="false">
      <c r="A10" s="1" t="s">
        <v>63</v>
      </c>
      <c r="B10" s="4"/>
      <c r="C10" s="4" t="n">
        <f aca="false">SUM(C7:C9)</f>
        <v>-20</v>
      </c>
      <c r="D10" s="4" t="n">
        <f aca="false">SUM(D7:D9)</f>
        <v>20</v>
      </c>
      <c r="E10" s="4" t="n">
        <f aca="false">SUM(E7:E9)</f>
        <v>60</v>
      </c>
      <c r="F10" s="4"/>
      <c r="G10" s="1"/>
      <c r="H10" s="1"/>
      <c r="I10" s="1"/>
    </row>
    <row r="11" customFormat="false" ht="14.65" hidden="false" customHeight="false" outlineLevel="0" collapsed="false">
      <c r="A11" s="1" t="s">
        <v>64</v>
      </c>
      <c r="B11" s="4"/>
      <c r="C11" s="14" t="n">
        <f aca="false">-Financing!C24</f>
        <v>-23.2722513089005</v>
      </c>
      <c r="D11" s="14" t="n">
        <f aca="false">-Financing!D24</f>
        <v>-26.3607357254461</v>
      </c>
      <c r="E11" s="14" t="n">
        <f aca="false">-Financing!E24</f>
        <v>-27.8790249561164</v>
      </c>
      <c r="F11" s="4"/>
      <c r="G11" s="1"/>
      <c r="H11" s="1"/>
      <c r="I11" s="1"/>
    </row>
    <row r="12" customFormat="false" ht="14.65" hidden="false" customHeight="false" outlineLevel="0" collapsed="false">
      <c r="A12" s="12" t="s">
        <v>65</v>
      </c>
      <c r="B12" s="17"/>
      <c r="C12" s="17" t="n">
        <f aca="false">C10+C11</f>
        <v>-43.2722513089005</v>
      </c>
      <c r="D12" s="17" t="n">
        <f aca="false">D10+D11</f>
        <v>-6.36073572544612</v>
      </c>
      <c r="E12" s="17" t="n">
        <f aca="false">E10+E11</f>
        <v>32.1209750438836</v>
      </c>
      <c r="F12" s="4"/>
      <c r="G12" s="1"/>
      <c r="H12" s="1"/>
      <c r="I12" s="1"/>
    </row>
    <row r="13" customFormat="false" ht="14.65" hidden="false" customHeight="false" outlineLevel="0" collapsed="false">
      <c r="A13" s="18"/>
      <c r="B13" s="19"/>
      <c r="C13" s="19"/>
      <c r="D13" s="19"/>
      <c r="E13" s="19"/>
      <c r="F13" s="20"/>
      <c r="G13" s="18"/>
      <c r="H13" s="1"/>
      <c r="I13" s="1"/>
    </row>
    <row r="14" customFormat="false" ht="14.65" hidden="false" customHeight="false" outlineLevel="0" collapsed="false">
      <c r="A14" s="18" t="s">
        <v>66</v>
      </c>
      <c r="B14" s="20"/>
      <c r="C14" s="20" t="n">
        <f aca="false">C12</f>
        <v>-43.2722513089005</v>
      </c>
      <c r="D14" s="20" t="n">
        <f aca="false">C14+D12</f>
        <v>-49.6329870343466</v>
      </c>
      <c r="E14" s="20" t="n">
        <f aca="false">D14+E12</f>
        <v>-17.5120119904631</v>
      </c>
      <c r="F14" s="20"/>
      <c r="G14" s="18"/>
      <c r="H14" s="1"/>
      <c r="I14" s="1"/>
    </row>
    <row r="15" customFormat="false" ht="14.65" hidden="false" customHeight="false" outlineLevel="0" collapsed="false">
      <c r="A15" s="21" t="s">
        <v>67</v>
      </c>
      <c r="B15" s="22"/>
      <c r="C15" s="22" t="n">
        <f aca="false">IF(B14&gt;=0,MAX(Operations!C9*Income!C12,-Operations!C9*Income!B14),MAX(0,Operations!C9*(Income!C12+Income!B14)))</f>
        <v>-0</v>
      </c>
      <c r="D15" s="22" t="n">
        <f aca="false">IF(C14&gt;=0,MAX(Operations!D9*Income!D12,-Operations!D9*Income!C14),MAX(0,Operations!D9*(Income!D12+Income!C14)))</f>
        <v>0</v>
      </c>
      <c r="E15" s="22" t="n">
        <f aca="false">IF(D14&gt;=0,MAX(Operations!E9*Income!E12,-Operations!E9*Income!D14),MAX(0,Operations!E9*(Income!E12+Income!D14)))</f>
        <v>0</v>
      </c>
      <c r="F15" s="20"/>
      <c r="G15" s="18"/>
      <c r="H15" s="1"/>
      <c r="I15" s="1"/>
    </row>
    <row r="16" customFormat="false" ht="14.65" hidden="false" customHeight="false" outlineLevel="0" collapsed="false">
      <c r="A16" s="18"/>
      <c r="B16" s="20"/>
      <c r="C16" s="20"/>
      <c r="D16" s="20"/>
      <c r="E16" s="20"/>
      <c r="F16" s="20"/>
      <c r="G16" s="18"/>
      <c r="H16" s="1"/>
      <c r="I16" s="1"/>
    </row>
    <row r="17" customFormat="false" ht="14.65" hidden="false" customHeight="false" outlineLevel="0" collapsed="false">
      <c r="A17" s="18" t="s">
        <v>65</v>
      </c>
      <c r="B17" s="20"/>
      <c r="C17" s="20" t="n">
        <f aca="false">C12</f>
        <v>-43.2722513089005</v>
      </c>
      <c r="D17" s="20" t="n">
        <f aca="false">D12</f>
        <v>-6.36073572544612</v>
      </c>
      <c r="E17" s="20" t="n">
        <f aca="false">E12</f>
        <v>32.1209750438836</v>
      </c>
      <c r="F17" s="20"/>
      <c r="G17" s="18"/>
      <c r="H17" s="1"/>
      <c r="I17" s="1"/>
    </row>
    <row r="18" customFormat="false" ht="14.65" hidden="false" customHeight="false" outlineLevel="0" collapsed="false">
      <c r="A18" s="18" t="s">
        <v>68</v>
      </c>
      <c r="B18" s="20"/>
      <c r="C18" s="19" t="n">
        <f aca="false">-C15</f>
        <v>0</v>
      </c>
      <c r="D18" s="19" t="n">
        <f aca="false">-D15</f>
        <v>-0</v>
      </c>
      <c r="E18" s="19" t="n">
        <f aca="false">-E15</f>
        <v>-0</v>
      </c>
      <c r="F18" s="20"/>
      <c r="G18" s="18"/>
      <c r="H18" s="1"/>
      <c r="I18" s="1"/>
    </row>
    <row r="19" customFormat="false" ht="14.65" hidden="false" customHeight="false" outlineLevel="0" collapsed="false">
      <c r="A19" s="10" t="s">
        <v>69</v>
      </c>
      <c r="B19" s="11"/>
      <c r="C19" s="11" t="n">
        <f aca="false">C17+C18</f>
        <v>-43.2722513089005</v>
      </c>
      <c r="D19" s="11" t="n">
        <f aca="false">D17+D18</f>
        <v>-6.36073572544612</v>
      </c>
      <c r="E19" s="11" t="n">
        <f aca="false">E17+E18</f>
        <v>32.1209750438836</v>
      </c>
      <c r="F19" s="20"/>
      <c r="G19" s="18"/>
      <c r="H19" s="1"/>
      <c r="I19" s="1"/>
    </row>
    <row r="20" customFormat="false" ht="14.65" hidden="false" customHeight="false" outlineLevel="0" collapsed="false">
      <c r="A20" s="18"/>
      <c r="B20" s="20"/>
      <c r="C20" s="20"/>
      <c r="D20" s="20"/>
      <c r="E20" s="20"/>
      <c r="F20" s="20"/>
      <c r="G20" s="18"/>
      <c r="H20" s="1"/>
      <c r="I20" s="1"/>
    </row>
    <row r="21" customFormat="false" ht="14.65" hidden="false" customHeight="false" outlineLevel="0" collapsed="false">
      <c r="A21" s="18" t="s">
        <v>70</v>
      </c>
      <c r="B21" s="23"/>
      <c r="C21" s="23"/>
      <c r="D21" s="23"/>
      <c r="E21" s="23"/>
      <c r="F21" s="18"/>
      <c r="G21" s="18"/>
      <c r="H21" s="1"/>
      <c r="I21" s="1"/>
    </row>
    <row r="22" customFormat="false" ht="14.65" hidden="false" customHeight="false" outlineLevel="0" collapsed="false">
      <c r="A22" s="18" t="s">
        <v>71</v>
      </c>
      <c r="B22" s="23"/>
      <c r="C22" s="23"/>
      <c r="D22" s="23"/>
      <c r="E22" s="23"/>
      <c r="F22" s="18"/>
      <c r="G22" s="18"/>
      <c r="H22" s="1"/>
      <c r="I22" s="1"/>
    </row>
    <row r="23" customFormat="false" ht="14.65" hidden="false" customHeight="false" outlineLevel="0" collapsed="false">
      <c r="A23" s="18" t="s">
        <v>72</v>
      </c>
      <c r="B23" s="18"/>
      <c r="C23" s="18"/>
      <c r="D23" s="18"/>
      <c r="E23" s="18"/>
      <c r="F23" s="18"/>
      <c r="G23" s="18"/>
      <c r="H23" s="1"/>
      <c r="I23" s="1"/>
    </row>
    <row r="24" customFormat="false" ht="14.65" hidden="false" customHeight="false" outlineLevel="0" collapsed="false">
      <c r="A24" s="18"/>
      <c r="B24" s="18"/>
      <c r="C24" s="18"/>
      <c r="D24" s="18"/>
      <c r="E24" s="18"/>
      <c r="F24" s="18"/>
      <c r="G24" s="18"/>
      <c r="H24" s="1"/>
      <c r="I24" s="1"/>
    </row>
    <row r="25" customFormat="false" ht="14.6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</row>
    <row r="26" customFormat="false" ht="14.6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</row>
    <row r="27" customFormat="false" ht="14.6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</row>
    <row r="28" customFormat="false" ht="14.6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</row>
    <row r="29" customFormat="false" ht="14.6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</row>
    <row r="30" customFormat="false" ht="14.6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</row>
    <row r="31" customFormat="false" ht="14.6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</row>
    <row r="32" customFormat="false" ht="14.6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</row>
    <row r="33" customFormat="false" ht="14.6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</row>
    <row r="34" customFormat="false" ht="14.6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</row>
    <row r="35" customFormat="false" ht="14.6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</row>
    <row r="36" customFormat="false" ht="14.6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</row>
    <row r="37" customFormat="false" ht="14.6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</row>
    <row r="38" customFormat="false" ht="14.6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</row>
    <row r="39" customFormat="false" ht="14.6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</row>
    <row r="40" customFormat="false" ht="14.6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</row>
    <row r="41" customFormat="false" ht="14.6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</row>
  </sheetData>
  <printOptions headings="true" gridLines="false" gridLinesSet="true" horizontalCentered="true" verticalCentered="true"/>
  <pageMargins left="0.747916666666667" right="0.747916666666667" top="0.984027777777778" bottom="0.984027777777778" header="0.511811023622047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9.0546875" defaultRowHeight="14.65" customHeight="false" zeroHeight="false" outlineLevelRow="0" outlineLevelCol="0"/>
  <cols>
    <col collapsed="false" customWidth="true" hidden="false" outlineLevel="0" max="1" min="1" style="0" width="41.85"/>
  </cols>
  <sheetData>
    <row r="1" customFormat="false" ht="14.65" hidden="false" customHeight="false" outlineLevel="0" collapsed="false">
      <c r="A1" s="1" t="s">
        <v>73</v>
      </c>
    </row>
    <row r="4" customFormat="false" ht="14.65" hidden="false" customHeight="false" outlineLevel="0" collapsed="false">
      <c r="A4" s="3" t="s">
        <v>12</v>
      </c>
      <c r="B4" s="3" t="n">
        <v>0</v>
      </c>
      <c r="C4" s="3" t="n">
        <v>1</v>
      </c>
      <c r="D4" s="3" t="n">
        <v>2</v>
      </c>
      <c r="E4" s="3" t="n">
        <v>3</v>
      </c>
    </row>
    <row r="5" customFormat="false" ht="14.65" hidden="false" customHeight="false" outlineLevel="0" collapsed="false">
      <c r="A5" s="1"/>
      <c r="B5" s="4"/>
      <c r="C5" s="4"/>
      <c r="D5" s="4"/>
      <c r="E5" s="4"/>
      <c r="F5" s="4"/>
      <c r="G5" s="4"/>
      <c r="H5" s="4"/>
    </row>
    <row r="6" customFormat="false" ht="14.65" hidden="false" customHeight="false" outlineLevel="0" collapsed="false">
      <c r="A6" s="1" t="s">
        <v>74</v>
      </c>
      <c r="B6" s="4" t="n">
        <f aca="false">Financing!B32</f>
        <v>98</v>
      </c>
      <c r="C6" s="4" t="n">
        <f aca="false">Financing!C32</f>
        <v>20</v>
      </c>
      <c r="D6" s="4" t="n">
        <f aca="false">Financing!D32</f>
        <v>28</v>
      </c>
      <c r="E6" s="4" t="n">
        <f aca="false">Financing!E32</f>
        <v>34</v>
      </c>
      <c r="F6" s="4"/>
      <c r="G6" s="4"/>
      <c r="H6" s="4"/>
    </row>
    <row r="7" customFormat="false" ht="14.65" hidden="false" customHeight="false" outlineLevel="0" collapsed="false">
      <c r="A7" s="1" t="s">
        <v>26</v>
      </c>
      <c r="B7" s="4" t="n">
        <f aca="false">Operations!B26</f>
        <v>10</v>
      </c>
      <c r="C7" s="4" t="n">
        <f aca="false">Operations!C26</f>
        <v>25</v>
      </c>
      <c r="D7" s="4" t="n">
        <f aca="false">Operations!D26</f>
        <v>35</v>
      </c>
      <c r="E7" s="4" t="n">
        <f aca="false">Operations!E26</f>
        <v>42.5</v>
      </c>
      <c r="F7" s="4"/>
      <c r="G7" s="4"/>
      <c r="H7" s="4"/>
    </row>
    <row r="8" customFormat="false" ht="14.65" hidden="false" customHeight="false" outlineLevel="0" collapsed="false">
      <c r="A8" s="1" t="s">
        <v>28</v>
      </c>
      <c r="B8" s="14" t="n">
        <f aca="false">Operations!B28</f>
        <v>0</v>
      </c>
      <c r="C8" s="14" t="n">
        <f aca="false">Operations!C28</f>
        <v>60</v>
      </c>
      <c r="D8" s="14" t="n">
        <f aca="false">Operations!D28</f>
        <v>84</v>
      </c>
      <c r="E8" s="14" t="n">
        <f aca="false">Operations!E28</f>
        <v>102</v>
      </c>
      <c r="F8" s="4"/>
      <c r="G8" s="4"/>
      <c r="H8" s="4"/>
    </row>
    <row r="9" customFormat="false" ht="14.65" hidden="false" customHeight="false" outlineLevel="0" collapsed="false">
      <c r="A9" s="12" t="s">
        <v>75</v>
      </c>
      <c r="B9" s="17" t="n">
        <f aca="false">SUM(B6:B8)</f>
        <v>108</v>
      </c>
      <c r="C9" s="17" t="n">
        <f aca="false">SUM(C6:C8)</f>
        <v>105</v>
      </c>
      <c r="D9" s="17" t="n">
        <f aca="false">SUM(D6:D8)</f>
        <v>147</v>
      </c>
      <c r="E9" s="17" t="n">
        <f aca="false">SUM(E6:E8)</f>
        <v>178.5</v>
      </c>
      <c r="F9" s="4"/>
      <c r="G9" s="4"/>
      <c r="H9" s="4"/>
    </row>
    <row r="10" customFormat="false" ht="14.65" hidden="false" customHeight="false" outlineLevel="0" collapsed="false">
      <c r="A10" s="18"/>
      <c r="B10" s="20"/>
      <c r="C10" s="20"/>
      <c r="D10" s="20"/>
      <c r="E10" s="20"/>
      <c r="F10" s="4"/>
      <c r="G10" s="4"/>
      <c r="H10" s="4"/>
    </row>
    <row r="11" customFormat="false" ht="14.65" hidden="false" customHeight="false" outlineLevel="0" collapsed="false">
      <c r="A11" s="1" t="s">
        <v>76</v>
      </c>
      <c r="B11" s="4" t="n">
        <f aca="false">Operations!B16</f>
        <v>400</v>
      </c>
      <c r="C11" s="4" t="n">
        <f aca="false">B11+Operations!C16</f>
        <v>500</v>
      </c>
      <c r="D11" s="4" t="n">
        <f aca="false">C11+Operations!D16</f>
        <v>600</v>
      </c>
      <c r="E11" s="4" t="n">
        <f aca="false">D11+Operations!E16</f>
        <v>700</v>
      </c>
      <c r="F11" s="4"/>
      <c r="G11" s="4"/>
      <c r="H11" s="4"/>
    </row>
    <row r="12" customFormat="false" ht="14.65" hidden="false" customHeight="false" outlineLevel="0" collapsed="false">
      <c r="A12" s="1" t="s">
        <v>77</v>
      </c>
      <c r="B12" s="14" t="n">
        <f aca="false">-Operations!B17</f>
        <v>-0</v>
      </c>
      <c r="C12" s="14" t="n">
        <f aca="false">B12-Operations!C17</f>
        <v>-100</v>
      </c>
      <c r="D12" s="14" t="n">
        <f aca="false">C12-Operations!D17</f>
        <v>-200</v>
      </c>
      <c r="E12" s="14" t="n">
        <f aca="false">D12-Operations!E17</f>
        <v>-300</v>
      </c>
      <c r="F12" s="4"/>
      <c r="G12" s="4"/>
      <c r="H12" s="4"/>
    </row>
    <row r="13" customFormat="false" ht="14.65" hidden="false" customHeight="false" outlineLevel="0" collapsed="false">
      <c r="A13" s="12" t="s">
        <v>78</v>
      </c>
      <c r="B13" s="17" t="n">
        <f aca="false">B11+B12</f>
        <v>400</v>
      </c>
      <c r="C13" s="17" t="n">
        <f aca="false">C11+C12</f>
        <v>400</v>
      </c>
      <c r="D13" s="17" t="n">
        <f aca="false">D11+D12</f>
        <v>400</v>
      </c>
      <c r="E13" s="17" t="n">
        <f aca="false">E11+E12</f>
        <v>400</v>
      </c>
      <c r="F13" s="4"/>
      <c r="G13" s="4"/>
      <c r="H13" s="4"/>
    </row>
    <row r="14" customFormat="false" ht="14.65" hidden="false" customHeight="false" outlineLevel="0" collapsed="false">
      <c r="F14" s="4"/>
      <c r="G14" s="4"/>
      <c r="H14" s="4"/>
    </row>
    <row r="15" customFormat="false" ht="14.65" hidden="false" customHeight="false" outlineLevel="0" collapsed="false">
      <c r="A15" s="24" t="s">
        <v>79</v>
      </c>
      <c r="B15" s="25" t="n">
        <f aca="false">B9+B13</f>
        <v>508</v>
      </c>
      <c r="C15" s="25" t="n">
        <f aca="false">C9+C13</f>
        <v>505</v>
      </c>
      <c r="D15" s="25" t="n">
        <f aca="false">D9+D13</f>
        <v>547</v>
      </c>
      <c r="E15" s="25" t="n">
        <f aca="false">E9+E13</f>
        <v>578.5</v>
      </c>
    </row>
    <row r="16" customFormat="false" ht="14.65" hidden="false" customHeight="false" outlineLevel="0" collapsed="false">
      <c r="B16" s="26"/>
      <c r="C16" s="26"/>
      <c r="D16" s="26"/>
      <c r="E16" s="26"/>
    </row>
    <row r="17" customFormat="false" ht="14.65" hidden="false" customHeight="false" outlineLevel="0" collapsed="false">
      <c r="A17" s="1" t="s">
        <v>29</v>
      </c>
      <c r="B17" s="27" t="n">
        <f aca="false">Operations!B29</f>
        <v>8</v>
      </c>
      <c r="C17" s="27" t="n">
        <f aca="false">Operations!C29</f>
        <v>20</v>
      </c>
      <c r="D17" s="27" t="n">
        <f aca="false">Operations!D29</f>
        <v>28</v>
      </c>
      <c r="E17" s="27" t="n">
        <f aca="false">Operations!E29</f>
        <v>34</v>
      </c>
    </row>
    <row r="18" customFormat="false" ht="14.65" hidden="false" customHeight="false" outlineLevel="0" collapsed="false">
      <c r="A18" s="1" t="s">
        <v>39</v>
      </c>
      <c r="B18" s="14" t="n">
        <f aca="false">Financing!B10</f>
        <v>0</v>
      </c>
      <c r="C18" s="14" t="n">
        <f aca="false">Financing!C10</f>
        <v>28.2722513089005</v>
      </c>
      <c r="D18" s="14" t="n">
        <f aca="false">Financing!D10</f>
        <v>68.6329870343466</v>
      </c>
      <c r="E18" s="14" t="n">
        <f aca="false">Financing!E10</f>
        <v>62.0120119904631</v>
      </c>
    </row>
    <row r="19" customFormat="false" ht="14.65" hidden="false" customHeight="false" outlineLevel="0" collapsed="false">
      <c r="A19" s="21" t="s">
        <v>80</v>
      </c>
      <c r="B19" s="22" t="n">
        <f aca="false">B17+B18</f>
        <v>8</v>
      </c>
      <c r="C19" s="22" t="n">
        <f aca="false">C17+C18</f>
        <v>48.2722513089005</v>
      </c>
      <c r="D19" s="22" t="n">
        <f aca="false">D17+D18</f>
        <v>96.6329870343466</v>
      </c>
      <c r="E19" s="22" t="n">
        <f aca="false">E17+E18</f>
        <v>96.0120119904631</v>
      </c>
    </row>
    <row r="20" customFormat="false" ht="14.65" hidden="false" customHeight="false" outlineLevel="0" collapsed="false">
      <c r="A20" s="10"/>
      <c r="B20" s="11"/>
      <c r="C20" s="11"/>
      <c r="D20" s="11"/>
      <c r="E20" s="11"/>
    </row>
    <row r="21" customFormat="false" ht="14.65" hidden="false" customHeight="false" outlineLevel="0" collapsed="false">
      <c r="A21" s="18" t="s">
        <v>44</v>
      </c>
      <c r="B21" s="20" t="n">
        <f aca="false">Financing!B9</f>
        <v>200</v>
      </c>
      <c r="C21" s="20" t="n">
        <f aca="false">Financing!C9</f>
        <v>200</v>
      </c>
      <c r="D21" s="20" t="n">
        <f aca="false">Financing!D9</f>
        <v>200</v>
      </c>
      <c r="E21" s="20" t="n">
        <f aca="false">Financing!E9</f>
        <v>200</v>
      </c>
    </row>
    <row r="22" customFormat="false" ht="14.65" hidden="false" customHeight="false" outlineLevel="0" collapsed="false">
      <c r="A22" s="18" t="s">
        <v>81</v>
      </c>
      <c r="B22" s="19" t="n">
        <f aca="false">Financing!B12-Financing!B13</f>
        <v>300</v>
      </c>
      <c r="C22" s="19" t="n">
        <f aca="false">B22+Financing!C12-Financing!C13+Income!C19</f>
        <v>256.727748691099</v>
      </c>
      <c r="D22" s="19" t="n">
        <f aca="false">C22+Financing!D12-Financing!D13+Income!D19</f>
        <v>250.367012965653</v>
      </c>
      <c r="E22" s="19" t="n">
        <f aca="false">D22+Financing!E12-Financing!E13+Income!E19</f>
        <v>282.487988009537</v>
      </c>
    </row>
    <row r="23" customFormat="false" ht="14.65" hidden="false" customHeight="false" outlineLevel="0" collapsed="false">
      <c r="A23" s="21" t="s">
        <v>82</v>
      </c>
      <c r="B23" s="28" t="n">
        <f aca="false">B21+B22</f>
        <v>500</v>
      </c>
      <c r="C23" s="28" t="n">
        <f aca="false">C21+C22</f>
        <v>456.727748691099</v>
      </c>
      <c r="D23" s="28" t="n">
        <f aca="false">D21+D22</f>
        <v>450.367012965653</v>
      </c>
      <c r="E23" s="28" t="n">
        <f aca="false">E21+E22</f>
        <v>482.487988009537</v>
      </c>
    </row>
    <row r="24" customFormat="false" ht="14.65" hidden="false" customHeight="false" outlineLevel="0" collapsed="false">
      <c r="A24" s="21"/>
      <c r="B24" s="22"/>
      <c r="C24" s="22"/>
      <c r="D24" s="22"/>
      <c r="E24" s="22"/>
    </row>
    <row r="25" customFormat="false" ht="14.65" hidden="false" customHeight="false" outlineLevel="0" collapsed="false">
      <c r="A25" s="21" t="s">
        <v>83</v>
      </c>
      <c r="B25" s="28" t="n">
        <f aca="false">B19+B23</f>
        <v>508</v>
      </c>
      <c r="C25" s="28" t="n">
        <f aca="false">C19+C23</f>
        <v>505</v>
      </c>
      <c r="D25" s="28" t="n">
        <f aca="false">D19+D23</f>
        <v>547</v>
      </c>
      <c r="E25" s="28" t="n">
        <f aca="false">E19+E23</f>
        <v>578.5</v>
      </c>
    </row>
    <row r="26" customFormat="false" ht="14.65" hidden="false" customHeight="false" outlineLevel="0" collapsed="false">
      <c r="A26" s="1"/>
      <c r="B26" s="1"/>
      <c r="C26" s="1"/>
      <c r="D26" s="1"/>
      <c r="E26" s="1"/>
    </row>
  </sheetData>
  <printOptions headings="true" gridLines="false" gridLinesSet="true" horizontalCentered="true" verticalCentered="true"/>
  <pageMargins left="0.747916666666667" right="0.747916666666667" top="0.984027777777778" bottom="0.984027777777778" header="0.511811023622047" footer="0.5"/>
  <pageSetup paperSize="1" scale="12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9.0546875" defaultRowHeight="14.65" customHeight="false" zeroHeight="false" outlineLevelRow="0" outlineLevelCol="0"/>
  <cols>
    <col collapsed="false" customWidth="true" hidden="false" outlineLevel="0" max="1" min="1" style="0" width="36.28"/>
  </cols>
  <sheetData>
    <row r="1" customFormat="false" ht="14.65" hidden="false" customHeight="false" outlineLevel="0" collapsed="false">
      <c r="A1" s="1" t="s">
        <v>84</v>
      </c>
    </row>
    <row r="4" customFormat="false" ht="14.65" hidden="false" customHeight="false" outlineLevel="0" collapsed="false">
      <c r="A4" s="3" t="s">
        <v>12</v>
      </c>
      <c r="B4" s="3" t="n">
        <v>0</v>
      </c>
      <c r="C4" s="3" t="n">
        <v>1</v>
      </c>
      <c r="D4" s="3" t="n">
        <v>2</v>
      </c>
      <c r="E4" s="3" t="n">
        <v>3</v>
      </c>
    </row>
    <row r="5" customFormat="false" ht="14.65" hidden="false" customHeight="false" outlineLevel="0" collapsed="false">
      <c r="A5" s="1"/>
      <c r="B5" s="1"/>
      <c r="C5" s="1"/>
      <c r="D5" s="1"/>
      <c r="E5" s="1"/>
    </row>
    <row r="6" customFormat="false" ht="14.65" hidden="false" customHeight="false" outlineLevel="0" collapsed="false">
      <c r="A6" s="18" t="s">
        <v>69</v>
      </c>
      <c r="B6" s="20"/>
      <c r="C6" s="20" t="n">
        <f aca="false">Income!C19</f>
        <v>-43.2722513089005</v>
      </c>
      <c r="D6" s="20" t="n">
        <f aca="false">Income!D19</f>
        <v>-6.36073572544612</v>
      </c>
      <c r="E6" s="20" t="n">
        <f aca="false">Income!E19</f>
        <v>32.1209750438836</v>
      </c>
      <c r="F6" s="4"/>
      <c r="G6" s="1"/>
      <c r="H6" s="1"/>
      <c r="I6" s="1"/>
    </row>
    <row r="7" customFormat="false" ht="14.65" hidden="false" customHeight="false" outlineLevel="0" collapsed="false">
      <c r="A7" s="1" t="s">
        <v>85</v>
      </c>
      <c r="B7" s="4"/>
      <c r="C7" s="4" t="n">
        <f aca="false">Operations!C17</f>
        <v>100</v>
      </c>
      <c r="D7" s="4" t="n">
        <f aca="false">Operations!D17</f>
        <v>100</v>
      </c>
      <c r="E7" s="4" t="n">
        <f aca="false">Operations!E17</f>
        <v>100</v>
      </c>
      <c r="F7" s="4"/>
      <c r="G7" s="1"/>
      <c r="H7" s="1"/>
      <c r="I7" s="1"/>
    </row>
    <row r="8" customFormat="false" ht="14.65" hidden="false" customHeight="false" outlineLevel="0" collapsed="false">
      <c r="A8" s="1" t="s">
        <v>86</v>
      </c>
      <c r="B8" s="4" t="n">
        <f aca="false">-'Balance sheet'!B7</f>
        <v>-10</v>
      </c>
      <c r="C8" s="4" t="n">
        <f aca="false">-('Balance sheet'!C7-'Balance sheet'!B7)</f>
        <v>-15</v>
      </c>
      <c r="D8" s="4" t="n">
        <f aca="false">-('Balance sheet'!D7-'Balance sheet'!C7)</f>
        <v>-10</v>
      </c>
      <c r="E8" s="4" t="n">
        <f aca="false">-('Balance sheet'!E7-'Balance sheet'!D7)</f>
        <v>-7.5</v>
      </c>
      <c r="F8" s="4"/>
      <c r="G8" s="1"/>
      <c r="H8" s="1"/>
      <c r="I8" s="1"/>
    </row>
    <row r="9" customFormat="false" ht="14.65" hidden="false" customHeight="false" outlineLevel="0" collapsed="false">
      <c r="A9" s="1" t="s">
        <v>87</v>
      </c>
      <c r="B9" s="4" t="n">
        <f aca="false">-'Balance sheet'!B8</f>
        <v>-0</v>
      </c>
      <c r="C9" s="4" t="n">
        <f aca="false">-('Balance sheet'!C8-'Balance sheet'!B8)</f>
        <v>-60</v>
      </c>
      <c r="D9" s="4" t="n">
        <f aca="false">-('Balance sheet'!D8-'Balance sheet'!C8)</f>
        <v>-24</v>
      </c>
      <c r="E9" s="4" t="n">
        <f aca="false">-('Balance sheet'!E8-'Balance sheet'!D8)</f>
        <v>-18</v>
      </c>
      <c r="F9" s="4"/>
      <c r="G9" s="1"/>
      <c r="H9" s="1"/>
      <c r="I9" s="1"/>
    </row>
    <row r="10" customFormat="false" ht="14.65" hidden="false" customHeight="false" outlineLevel="0" collapsed="false">
      <c r="A10" s="1" t="s">
        <v>88</v>
      </c>
      <c r="B10" s="14" t="n">
        <f aca="false">'Balance sheet'!B17</f>
        <v>8</v>
      </c>
      <c r="C10" s="14" t="n">
        <f aca="false">'Balance sheet'!C17-'Balance sheet'!B17</f>
        <v>12</v>
      </c>
      <c r="D10" s="14" t="n">
        <f aca="false">'Balance sheet'!D17-'Balance sheet'!C17</f>
        <v>8</v>
      </c>
      <c r="E10" s="14" t="n">
        <f aca="false">'Balance sheet'!E17-'Balance sheet'!D17</f>
        <v>6</v>
      </c>
      <c r="F10" s="4"/>
      <c r="G10" s="1"/>
      <c r="H10" s="1"/>
      <c r="I10" s="1"/>
    </row>
    <row r="11" customFormat="false" ht="14.65" hidden="false" customHeight="false" outlineLevel="0" collapsed="false">
      <c r="A11" s="12" t="s">
        <v>89</v>
      </c>
      <c r="B11" s="17" t="n">
        <f aca="false">SUM(B6:B10)</f>
        <v>-2</v>
      </c>
      <c r="C11" s="17" t="n">
        <f aca="false">SUM(C6:C10)</f>
        <v>-6.27225130890052</v>
      </c>
      <c r="D11" s="17" t="n">
        <f aca="false">SUM(D6:D10)</f>
        <v>67.6392642745539</v>
      </c>
      <c r="E11" s="17" t="n">
        <f aca="false">SUM(E6:E10)</f>
        <v>112.620975043884</v>
      </c>
      <c r="F11" s="4"/>
      <c r="G11" s="1"/>
      <c r="H11" s="1"/>
      <c r="I11" s="1"/>
    </row>
    <row r="12" customFormat="false" ht="14.65" hidden="false" customHeight="false" outlineLevel="0" collapsed="false">
      <c r="A12" s="1" t="s">
        <v>90</v>
      </c>
      <c r="B12" s="14" t="n">
        <f aca="false">-Operations!B16</f>
        <v>-400</v>
      </c>
      <c r="C12" s="14" t="n">
        <f aca="false">-Operations!C16</f>
        <v>-100</v>
      </c>
      <c r="D12" s="14" t="n">
        <f aca="false">-Operations!D16</f>
        <v>-100</v>
      </c>
      <c r="E12" s="14" t="n">
        <f aca="false">-Operations!E16</f>
        <v>-100</v>
      </c>
      <c r="F12" s="4"/>
      <c r="G12" s="1"/>
      <c r="H12" s="1"/>
      <c r="I12" s="1"/>
    </row>
    <row r="13" customFormat="false" ht="14.65" hidden="false" customHeight="false" outlineLevel="0" collapsed="false">
      <c r="A13" s="12" t="s">
        <v>91</v>
      </c>
      <c r="B13" s="17" t="n">
        <f aca="false">B11+B12</f>
        <v>-402</v>
      </c>
      <c r="C13" s="17" t="n">
        <f aca="false">C11+C12</f>
        <v>-106.272251308901</v>
      </c>
      <c r="D13" s="17" t="n">
        <f aca="false">D11+D12</f>
        <v>-32.3607357254461</v>
      </c>
      <c r="E13" s="17" t="n">
        <f aca="false">E11+E12</f>
        <v>12.6209750438836</v>
      </c>
      <c r="F13" s="4"/>
      <c r="G13" s="1"/>
      <c r="H13" s="1"/>
      <c r="I13" s="1"/>
    </row>
    <row r="14" customFormat="false" ht="14.65" hidden="false" customHeight="false" outlineLevel="0" collapsed="false">
      <c r="A14" s="1" t="s">
        <v>92</v>
      </c>
      <c r="B14" s="4" t="n">
        <f aca="false">Financing!B12</f>
        <v>300</v>
      </c>
      <c r="C14" s="4" t="n">
        <f aca="false">Financing!C12</f>
        <v>0</v>
      </c>
      <c r="D14" s="4" t="n">
        <f aca="false">Financing!D12</f>
        <v>0</v>
      </c>
      <c r="E14" s="4" t="n">
        <f aca="false">Financing!E12</f>
        <v>0</v>
      </c>
      <c r="F14" s="4"/>
      <c r="G14" s="1"/>
      <c r="H14" s="1"/>
      <c r="I14" s="1"/>
    </row>
    <row r="15" customFormat="false" ht="14.65" hidden="false" customHeight="false" outlineLevel="0" collapsed="false">
      <c r="A15" s="1" t="s">
        <v>93</v>
      </c>
      <c r="B15" s="4" t="n">
        <v>0</v>
      </c>
      <c r="C15" s="4" t="n">
        <f aca="false">-Financing!C13</f>
        <v>-0</v>
      </c>
      <c r="D15" s="4" t="n">
        <f aca="false">-Financing!D13</f>
        <v>-0</v>
      </c>
      <c r="E15" s="4" t="n">
        <f aca="false">-Financing!E13</f>
        <v>-0</v>
      </c>
      <c r="F15" s="4"/>
      <c r="G15" s="1"/>
      <c r="H15" s="1"/>
      <c r="I15" s="1"/>
    </row>
    <row r="16" customFormat="false" ht="14.65" hidden="false" customHeight="false" outlineLevel="0" collapsed="false">
      <c r="A16" s="1" t="s">
        <v>94</v>
      </c>
      <c r="B16" s="29" t="n">
        <f aca="false">Financing!B9</f>
        <v>200</v>
      </c>
      <c r="C16" s="29" t="n">
        <f aca="false">Financing!C9-Financing!B9</f>
        <v>0</v>
      </c>
      <c r="D16" s="29" t="n">
        <f aca="false">Financing!D9-Financing!C9</f>
        <v>0</v>
      </c>
      <c r="E16" s="29" t="n">
        <f aca="false">Financing!E9-Financing!D9</f>
        <v>0</v>
      </c>
      <c r="F16" s="1"/>
      <c r="G16" s="1"/>
      <c r="H16" s="1"/>
      <c r="I16" s="1"/>
    </row>
    <row r="17" customFormat="false" ht="14.65" hidden="false" customHeight="false" outlineLevel="0" collapsed="false">
      <c r="A17" s="1" t="s">
        <v>95</v>
      </c>
      <c r="B17" s="30" t="n">
        <f aca="false">Financing!B10</f>
        <v>0</v>
      </c>
      <c r="C17" s="30" t="n">
        <f aca="false">Financing!C10-Financing!B10</f>
        <v>28.2722513089005</v>
      </c>
      <c r="D17" s="30" t="n">
        <f aca="false">Financing!D10-Financing!C10</f>
        <v>40.3607357254461</v>
      </c>
      <c r="E17" s="30" t="n">
        <f aca="false">Financing!E10-Financing!D10</f>
        <v>-6.62097504388354</v>
      </c>
      <c r="F17" s="1"/>
      <c r="G17" s="1"/>
      <c r="H17" s="1"/>
      <c r="I17" s="1"/>
    </row>
    <row r="18" customFormat="false" ht="14.65" hidden="false" customHeight="false" outlineLevel="0" collapsed="false">
      <c r="A18" s="12" t="s">
        <v>96</v>
      </c>
      <c r="B18" s="31" t="n">
        <f aca="false">SUM(B13:B17)</f>
        <v>98</v>
      </c>
      <c r="C18" s="31" t="n">
        <f aca="false">SUM(C13:C17)</f>
        <v>-78</v>
      </c>
      <c r="D18" s="31" t="n">
        <f aca="false">SUM(D13:D17)</f>
        <v>8</v>
      </c>
      <c r="E18" s="31" t="n">
        <f aca="false">SUM(E13:E17)</f>
        <v>6.00000000000002</v>
      </c>
      <c r="F18" s="1"/>
      <c r="G18" s="1"/>
      <c r="H18" s="1"/>
      <c r="I18" s="1"/>
    </row>
    <row r="19" customFormat="false" ht="14.65" hidden="false" customHeight="false" outlineLevel="0" collapsed="false">
      <c r="A19" s="1" t="s">
        <v>47</v>
      </c>
      <c r="B19" s="14" t="n">
        <v>0</v>
      </c>
      <c r="C19" s="14" t="n">
        <f aca="false">B20</f>
        <v>98</v>
      </c>
      <c r="D19" s="14" t="n">
        <f aca="false">C20</f>
        <v>20</v>
      </c>
      <c r="E19" s="14" t="n">
        <f aca="false">D20</f>
        <v>28</v>
      </c>
      <c r="F19" s="1"/>
      <c r="G19" s="1"/>
      <c r="H19" s="1"/>
      <c r="I19" s="1"/>
    </row>
    <row r="20" customFormat="false" ht="14.65" hidden="false" customHeight="false" outlineLevel="0" collapsed="false">
      <c r="A20" s="1" t="s">
        <v>49</v>
      </c>
      <c r="B20" s="4" t="n">
        <f aca="false">B18+B19</f>
        <v>98</v>
      </c>
      <c r="C20" s="4" t="n">
        <f aca="false">C18+C19</f>
        <v>20</v>
      </c>
      <c r="D20" s="4" t="n">
        <f aca="false">D18+D19</f>
        <v>28</v>
      </c>
      <c r="E20" s="4" t="n">
        <f aca="false">E18+E19</f>
        <v>34</v>
      </c>
      <c r="F20" s="1"/>
      <c r="G20" s="1"/>
      <c r="H20" s="1"/>
      <c r="I20" s="1"/>
    </row>
    <row r="21" customFormat="false" ht="14.6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</row>
    <row r="22" customFormat="false" ht="14.6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</row>
    <row r="23" customFormat="false" ht="14.6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</row>
    <row r="24" customFormat="false" ht="14.6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</row>
    <row r="25" customFormat="false" ht="14.6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</row>
    <row r="26" customFormat="false" ht="14.6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</row>
    <row r="27" customFormat="false" ht="14.6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</row>
    <row r="28" customFormat="false" ht="14.6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</row>
    <row r="29" customFormat="false" ht="14.6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</row>
    <row r="30" customFormat="false" ht="14.6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</row>
    <row r="31" customFormat="false" ht="14.6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</row>
    <row r="32" customFormat="false" ht="14.6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</row>
    <row r="33" customFormat="false" ht="14.6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</row>
    <row r="34" customFormat="false" ht="14.6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</row>
    <row r="35" customFormat="false" ht="14.6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</row>
    <row r="36" customFormat="false" ht="14.6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</row>
  </sheetData>
  <printOptions headings="true" gridLines="false" gridLinesSet="true" horizontalCentered="true" verticalCentered="true"/>
  <pageMargins left="0.747916666666667" right="0.747916666666667" top="0.984027777777778" bottom="0.984027777777778" header="0.511811023622047" footer="0.5"/>
  <pageSetup paperSize="1" scale="12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