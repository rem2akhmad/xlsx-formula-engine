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<sst xmlns="http://schemas.openxmlformats.org/spreadsheetml/2006/main" count="19" uniqueCount="15">
  <si>
    <t xml:space="preserve">Salary</t>
  </si>
  <si>
    <t xml:space="preserve">Savings</t>
  </si>
  <si>
    <t xml:space="preserve">refresh</t>
  </si>
  <si>
    <t xml:space="preserve">capgain</t>
  </si>
  <si>
    <t xml:space="preserve">cg only</t>
  </si>
  <si>
    <t xml:space="preserve">freedom point</t>
  </si>
  <si>
    <t xml:space="preserve">Current</t>
  </si>
  <si>
    <t xml:space="preserve">Savings (cmmulative)</t>
  </si>
  <si>
    <t xml:space="preserve">Refresh</t>
  </si>
  <si>
    <t xml:space="preserve">cap gain</t>
  </si>
  <si>
    <t xml:space="preserve">startup</t>
  </si>
  <si>
    <t xml:space="preserve">abc</t>
  </si>
  <si>
    <t xml:space="preserve">def</t>
  </si>
  <si>
    <t xml:space="preserve">это третий лист</t>
  </si>
  <si>
    <t xml:space="preserve">это четвертый лист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</si>
</sst>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5.88"/>
  </cols>
  <sheetData>
    <row r="1" customFormat="false" ht="15.75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 customFormat="false" ht="15.75" hidden="false" customHeight="false" outlineLevel="0" collapsed="false">
      <c r="A2" s="2" t="s">
        <v>0</v>
      </c>
      <c r="B2" s="1" t="n">
        <v>300</v>
      </c>
      <c r="C2" s="3" t="n">
        <f aca="false">B2*1.05</f>
        <v>315</v>
      </c>
      <c r="D2" s="3" t="n">
        <f aca="false">C2*1.05</f>
        <v>330.75</v>
      </c>
      <c r="E2" s="3" t="n">
        <f aca="false">D2*1.05</f>
        <v>347.2875</v>
      </c>
      <c r="F2" s="3" t="n">
        <f aca="false">E2*1.05</f>
        <v>364.651875</v>
      </c>
      <c r="G2" s="3" t="n">
        <f aca="false">F2*1.05</f>
        <v>382.88446875</v>
      </c>
      <c r="H2" s="3" t="n">
        <f aca="false">G2*1.05</f>
        <v>402.0286921875</v>
      </c>
      <c r="I2" s="3" t="n">
        <f aca="false">H2*1.05</f>
        <v>422.130126796875</v>
      </c>
      <c r="J2" s="3" t="n">
        <f aca="false">I2*1.05</f>
        <v>443.236633136719</v>
      </c>
      <c r="K2" s="3" t="n">
        <f aca="false">J2*1.05</f>
        <v>465.398464793555</v>
      </c>
    </row>
    <row r="3" customFormat="false" ht="15.75" hidden="false" customHeight="false" outlineLevel="0" collapsed="false">
      <c r="A3" s="2" t="s">
        <v>1</v>
      </c>
      <c r="B3" s="1" t="n">
        <f aca="false">0.5*B2</f>
        <v>150</v>
      </c>
      <c r="C3" s="1" t="n">
        <f aca="false">0.5*C2+B3</f>
        <v>307.5</v>
      </c>
      <c r="D3" s="1" t="n">
        <f aca="false">0.5*D2+C3</f>
        <v>472.875</v>
      </c>
      <c r="E3" s="1" t="n">
        <f aca="false">0.5*E2+D3</f>
        <v>646.51875</v>
      </c>
      <c r="F3" s="1" t="n">
        <f aca="false">0.5*F2+E3</f>
        <v>828.8446875</v>
      </c>
      <c r="G3" s="1" t="n">
        <f aca="false">0.5*G2+F3</f>
        <v>1020.286921875</v>
      </c>
      <c r="H3" s="1" t="n">
        <f aca="false">0.5*H2+G3</f>
        <v>1221.30126796875</v>
      </c>
      <c r="I3" s="1" t="n">
        <f aca="false">0.5*I2+H3</f>
        <v>1432.36633136719</v>
      </c>
      <c r="J3" s="1" t="n">
        <f aca="false">0.5*J2+I3</f>
        <v>1653.98464793555</v>
      </c>
      <c r="K3" s="1" t="n">
        <f aca="false">0.5*K2+J3</f>
        <v>1886.68388033232</v>
      </c>
    </row>
    <row r="4" customFormat="false" ht="15.75" hidden="false" customHeight="false" outlineLevel="0" collapsed="false">
      <c r="A4" s="2" t="s">
        <v>2</v>
      </c>
      <c r="B4" s="4" t="n">
        <v>0.05</v>
      </c>
    </row>
    <row r="5" customFormat="false" ht="15.75" hidden="false" customHeight="false" outlineLevel="0" collapsed="false">
      <c r="A5" s="2" t="s">
        <v>3</v>
      </c>
      <c r="B5" s="3" t="n">
        <f aca="false">B3</f>
        <v>150</v>
      </c>
      <c r="C5" s="3" t="n">
        <f aca="false">B5*(1 +B17)+C2*0.5</f>
        <v>337.5</v>
      </c>
      <c r="D5" s="3" t="n">
        <f aca="false">C5*(1 +B17)+D2*0.5</f>
        <v>570.375</v>
      </c>
      <c r="E5" s="3" t="n">
        <f aca="false">D5*(1 +B17)+E2*0.5</f>
        <v>858.09375</v>
      </c>
      <c r="F5" s="3" t="n">
        <f aca="false">E5*(1 +B17)+F2*0.5</f>
        <v>1212.038438</v>
      </c>
      <c r="G5" s="3" t="n">
        <f aca="false">F5*(1 +B17)+G2*0.5</f>
        <v>1645.888359</v>
      </c>
      <c r="H5" s="3" t="n">
        <f aca="false">G5*(1 +B17)+H2*0.5</f>
        <v>2176.080377</v>
      </c>
      <c r="I5" s="3" t="n">
        <f aca="false">H5*(1 +B17)+I2*0.5</f>
        <v>2822.361516</v>
      </c>
      <c r="J5" s="3" t="n">
        <f aca="false">I5*(1 +B17)+J2*0.5</f>
        <v>3608.452136</v>
      </c>
      <c r="K5" s="3" t="n">
        <f aca="false">J5*(1 +B17)+K2*0.5</f>
        <v>4562.841796</v>
      </c>
    </row>
    <row r="6" customFormat="false" ht="15.75" hidden="false" customHeight="false" outlineLevel="0" collapsed="false">
      <c r="A6" s="1" t="s">
        <v>4</v>
      </c>
      <c r="B6" s="1" t="n">
        <v>0</v>
      </c>
      <c r="C6" s="3" t="n">
        <f aca="false">B5*B17</f>
        <v>30</v>
      </c>
      <c r="D6" s="3" t="n">
        <f aca="false">C5*B17</f>
        <v>67.5</v>
      </c>
      <c r="E6" s="3" t="n">
        <f aca="false">D5*B17</f>
        <v>114.075</v>
      </c>
      <c r="F6" s="3" t="n">
        <f aca="false">E5*B17</f>
        <v>171.61875</v>
      </c>
      <c r="G6" s="3" t="n">
        <f aca="false">F5*B17</f>
        <v>242.4076875</v>
      </c>
      <c r="H6" s="3" t="n">
        <f aca="false">G5*B17</f>
        <v>329.1776719</v>
      </c>
      <c r="I6" s="3" t="n">
        <f aca="false">H5*B17</f>
        <v>435.2160755</v>
      </c>
      <c r="J6" s="3" t="n">
        <f aca="false">I5*B17</f>
        <v>564.4723032</v>
      </c>
      <c r="K6" s="3" t="n">
        <f aca="false">J5*B17</f>
        <v>721.6904272</v>
      </c>
    </row>
    <row r="7" customFormat="false" ht="15.75" hidden="false" customHeight="false" outlineLevel="0" collapsed="false">
      <c r="F7" s="1" t="s">
        <v>5</v>
      </c>
    </row>
    <row r="8" customFormat="false" ht="15.75" hidden="false" customHeight="false" outlineLevel="0" collapsed="false">
      <c r="A8" s="1" t="s">
        <v>6</v>
      </c>
      <c r="B8" s="1" t="n">
        <v>1</v>
      </c>
      <c r="C8" s="1" t="n">
        <v>2</v>
      </c>
      <c r="D8" s="1" t="n">
        <v>3</v>
      </c>
      <c r="E8" s="1" t="n">
        <v>4</v>
      </c>
      <c r="F8" s="1" t="n">
        <v>5</v>
      </c>
      <c r="G8" s="1" t="n">
        <v>6</v>
      </c>
      <c r="H8" s="1" t="n">
        <v>7</v>
      </c>
      <c r="I8" s="1" t="n">
        <v>8</v>
      </c>
      <c r="J8" s="1" t="n">
        <v>9</v>
      </c>
      <c r="K8" s="1" t="n">
        <v>10</v>
      </c>
    </row>
    <row r="9" customFormat="false" ht="15.75" hidden="false" customHeight="false" outlineLevel="0" collapsed="false">
      <c r="A9" s="2" t="s">
        <v>0</v>
      </c>
      <c r="B9" s="1" t="n">
        <v>160</v>
      </c>
      <c r="C9" s="3" t="n">
        <f aca="false">1.03*B9</f>
        <v>164.8</v>
      </c>
      <c r="D9" s="3" t="n">
        <f aca="false">1.03*C9</f>
        <v>169.744</v>
      </c>
      <c r="E9" s="3" t="n">
        <f aca="false">1.03*D9</f>
        <v>174.83632</v>
      </c>
      <c r="F9" s="3" t="n">
        <f aca="false">1.03*E9</f>
        <v>180.0814096</v>
      </c>
      <c r="G9" s="3" t="n">
        <f aca="false">1.03*F9</f>
        <v>185.483851888</v>
      </c>
      <c r="H9" s="3" t="n">
        <f aca="false">1.03*G9</f>
        <v>191.04836744464</v>
      </c>
      <c r="I9" s="3" t="n">
        <f aca="false">1.03*H9</f>
        <v>196.779818467979</v>
      </c>
      <c r="J9" s="3" t="n">
        <f aca="false">1.03*I9</f>
        <v>202.683213022019</v>
      </c>
      <c r="K9" s="3" t="n">
        <f aca="false">1.03*J9</f>
        <v>208.763709412679</v>
      </c>
    </row>
    <row r="10" customFormat="false" ht="15.75" hidden="false" customHeight="false" outlineLevel="0" collapsed="false">
      <c r="A10" s="2" t="s">
        <v>7</v>
      </c>
      <c r="B10" s="1" t="n">
        <f aca="false">0.4*B9</f>
        <v>64</v>
      </c>
      <c r="C10" s="1" t="n">
        <f aca="false">0.4*C9+B10</f>
        <v>129.92</v>
      </c>
      <c r="D10" s="1" t="n">
        <f aca="false">0.4*D9+C10</f>
        <v>197.8176</v>
      </c>
      <c r="E10" s="1" t="n">
        <f aca="false">0.4*E9+D10</f>
        <v>267.752128</v>
      </c>
      <c r="F10" s="1" t="n">
        <f aca="false">0.4*F9+E10</f>
        <v>339.78469184</v>
      </c>
      <c r="G10" s="1" t="n">
        <f aca="false">0.4*G9+F10</f>
        <v>413.9782325952</v>
      </c>
      <c r="H10" s="1" t="n">
        <f aca="false">0.4*H9+G10</f>
        <v>490.397579573056</v>
      </c>
      <c r="I10" s="1" t="n">
        <f aca="false">0.4*I9+H10</f>
        <v>569.109506960248</v>
      </c>
      <c r="J10" s="1" t="n">
        <f aca="false">0.4*J9+I10</f>
        <v>650.182792169055</v>
      </c>
      <c r="K10" s="1" t="n">
        <f aca="false">0.4*K9+J10</f>
        <v>733.688275934127</v>
      </c>
    </row>
    <row r="11" customFormat="false" ht="15.75" hidden="false" customHeight="false" outlineLevel="0" collapsed="false">
      <c r="A11" s="2" t="s">
        <v>8</v>
      </c>
      <c r="B11" s="4" t="n">
        <v>0.03</v>
      </c>
    </row>
    <row r="12" customFormat="false" ht="15.75" hidden="false" customHeight="false" outlineLevel="0" collapsed="false">
      <c r="A12" s="2" t="s">
        <v>9</v>
      </c>
      <c r="B12" s="3" t="n">
        <f aca="false">B10</f>
        <v>64</v>
      </c>
      <c r="C12" s="3" t="n">
        <f aca="false">(1 + B17)*B12+C9*0.4</f>
        <v>142.72</v>
      </c>
      <c r="D12" s="3" t="n">
        <f aca="false">(1 + B17)*C12+D9*0.4</f>
        <v>239.1616</v>
      </c>
      <c r="E12" s="3" t="n">
        <f aca="false">(1 + B17)*D12+E9*0.4</f>
        <v>356.928448</v>
      </c>
      <c r="F12" s="3" t="n">
        <f aca="false">(1 + B17)*E12+F9*0.4</f>
        <v>500.3467014</v>
      </c>
      <c r="G12" s="3" t="n">
        <f aca="false">(1 + B17)*F12+G9*0.4</f>
        <v>674.6095825</v>
      </c>
      <c r="H12" s="3" t="n">
        <f aca="false">(1 + B17)*G12+H9*0.4</f>
        <v>885.950846</v>
      </c>
      <c r="I12" s="3" t="n">
        <f aca="false">(1 + B17)*H12+I9*0.4</f>
        <v>1141.852943</v>
      </c>
      <c r="J12" s="3" t="n">
        <f aca="false">(1 + B17)*I12+J9*0.4</f>
        <v>1451.296816</v>
      </c>
      <c r="K12" s="3" t="n">
        <f aca="false">(1 + B17)*J12+K9*0.4</f>
        <v>1825.061663</v>
      </c>
    </row>
    <row r="13" customFormat="false" ht="15.75" hidden="false" customHeight="false" outlineLevel="0" collapsed="false">
      <c r="A13" s="1" t="s">
        <v>4</v>
      </c>
      <c r="C13" s="3" t="n">
        <f aca="false">B12*B17</f>
        <v>12.8</v>
      </c>
      <c r="D13" s="3" t="n">
        <f aca="false">C12*B17</f>
        <v>28.544</v>
      </c>
      <c r="E13" s="3" t="n">
        <f aca="false">D12*B17</f>
        <v>47.83232</v>
      </c>
      <c r="F13" s="3" t="n">
        <f aca="false">E12*B17</f>
        <v>71.3856896</v>
      </c>
      <c r="G13" s="3" t="n">
        <f aca="false">F12*B17</f>
        <v>100.0693403</v>
      </c>
      <c r="H13" s="3" t="n">
        <f aca="false">G12*B17</f>
        <v>134.9219165</v>
      </c>
      <c r="I13" s="3" t="n">
        <f aca="false">H12*B17</f>
        <v>177.1901692</v>
      </c>
      <c r="J13" s="3" t="n">
        <f aca="false">I12*B17</f>
        <v>228.3705885</v>
      </c>
      <c r="K13" s="3" t="n">
        <f aca="false">J12*B17</f>
        <v>290.2593633</v>
      </c>
    </row>
    <row r="14" customFormat="false" ht="15.75" hidden="false" customHeight="false" outlineLevel="0" collapsed="false">
      <c r="G14" s="1" t="s">
        <v>5</v>
      </c>
    </row>
    <row r="15" customFormat="false" ht="15.75" hidden="false" customHeight="false" outlineLevel="0" collapsed="false">
      <c r="A15" s="1" t="s">
        <v>10</v>
      </c>
    </row>
    <row r="17" customFormat="false" ht="15.75" hidden="false" customHeight="false" outlineLevel="0" collapsed="false">
      <c r="A17" s="1" t="s">
        <v>9</v>
      </c>
      <c r="B17" s="1" t="n">
        <v>0.2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12</v>
      </c>
      <c r="B1" s="1" t="s">
        <v>13</v>
      </c>
    </row>
    <row r="3" customFormat="false" ht="15.75" hidden="false" customHeight="true" outlineLevel="0" collapsed="false">
      <c r="C3" s="0" t="n">
        <v>1</v>
      </c>
      <c r="D3" s="0" t="n">
        <v>2</v>
      </c>
      <c r="E3" s="0" t="n">
        <v>3</v>
      </c>
      <c r="F3" s="0" t="n">
        <f aca="false">E3*D3+IF(D3&gt;C3, 201, -1)</f>
        <v>207</v>
      </c>
    </row>
    <row r="4" customFormat="false" ht="15.75" hidden="false" customHeight="true" outlineLevel="0" collapsed="false">
      <c r="C4" s="0" t="n">
        <v>4</v>
      </c>
      <c r="D4" s="0" t="n">
        <v>5</v>
      </c>
      <c r="E4" s="0" t="n">
        <v>6</v>
      </c>
      <c r="F4" s="0" t="n">
        <f aca="false">LOG10(E4)+SUM(,C4,D3,E4)</f>
        <v>12.7781512503836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2026-05-17T10:11:41Z</dcterms:modified>
  <cp:revision>1</cp:revision>
  <dc:subject/>
  <dc:title/>
</cp:coreProperties>
</file>